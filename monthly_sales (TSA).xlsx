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ABP Project\Unit 6\"/>
    </mc:Choice>
  </mc:AlternateContent>
  <xr:revisionPtr revIDLastSave="0" documentId="13_ncr:1_{8EF01CC2-FDE3-472C-9741-841E44E423F4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Sheet1" sheetId="1" r:id="rId1"/>
    <sheet name="Linear Regression" sheetId="4" r:id="rId2"/>
    <sheet name="Polynominal Regresson" sheetId="5" r:id="rId3"/>
    <sheet name="Multiple Linear Regression" sheetId="2" r:id="rId4"/>
    <sheet name="Simple Models" sheetId="6" r:id="rId5"/>
    <sheet name="Holt Method" sheetId="7" r:id="rId6"/>
    <sheet name="Holt Winter" sheetId="8" r:id="rId7"/>
  </sheets>
  <definedNames>
    <definedName name="solver_adj" localSheetId="5" hidden="1">'Holt Method'!$U$1</definedName>
    <definedName name="solver_adj" localSheetId="4" hidden="1">'Simple Models'!$V$1</definedName>
    <definedName name="solver_cvg" localSheetId="5" hidden="1">0.0001</definedName>
    <definedName name="solver_cvg" localSheetId="4" hidden="1">0.0001</definedName>
    <definedName name="solver_drv" localSheetId="5" hidden="1">1</definedName>
    <definedName name="solver_drv" localSheetId="4" hidden="1">1</definedName>
    <definedName name="solver_eng" localSheetId="5" hidden="1">1</definedName>
    <definedName name="solver_eng" localSheetId="4" hidden="1">1</definedName>
    <definedName name="solver_est" localSheetId="5" hidden="1">1</definedName>
    <definedName name="solver_est" localSheetId="4" hidden="1">1</definedName>
    <definedName name="solver_itr" localSheetId="5" hidden="1">2147483647</definedName>
    <definedName name="solver_itr" localSheetId="4" hidden="1">2147483647</definedName>
    <definedName name="solver_lhs1" localSheetId="5" hidden="1">'Holt Method'!$U$1</definedName>
    <definedName name="solver_lhs1" localSheetId="4" hidden="1">'Simple Models'!$V$1</definedName>
    <definedName name="solver_lhs2" localSheetId="5" hidden="1">'Holt Method'!$U$1</definedName>
    <definedName name="solver_lhs2" localSheetId="4" hidden="1">'Simple Models'!$V$1</definedName>
    <definedName name="solver_lhs3" localSheetId="5" hidden="1">'Holt Method'!$U$2</definedName>
    <definedName name="solver_lhs4" localSheetId="5" hidden="1">'Holt Method'!$U$2</definedName>
    <definedName name="solver_mip" localSheetId="5" hidden="1">2147483647</definedName>
    <definedName name="solver_mip" localSheetId="4" hidden="1">2147483647</definedName>
    <definedName name="solver_mni" localSheetId="5" hidden="1">30</definedName>
    <definedName name="solver_mni" localSheetId="4" hidden="1">30</definedName>
    <definedName name="solver_mrt" localSheetId="5" hidden="1">0.075</definedName>
    <definedName name="solver_mrt" localSheetId="4" hidden="1">0.075</definedName>
    <definedName name="solver_msl" localSheetId="5" hidden="1">2</definedName>
    <definedName name="solver_msl" localSheetId="4" hidden="1">2</definedName>
    <definedName name="solver_neg" localSheetId="5" hidden="1">1</definedName>
    <definedName name="solver_neg" localSheetId="4" hidden="1">1</definedName>
    <definedName name="solver_nod" localSheetId="5" hidden="1">2147483647</definedName>
    <definedName name="solver_nod" localSheetId="4" hidden="1">2147483647</definedName>
    <definedName name="solver_num" localSheetId="5" hidden="1">4</definedName>
    <definedName name="solver_num" localSheetId="4" hidden="1">2</definedName>
    <definedName name="solver_nwt" localSheetId="5" hidden="1">1</definedName>
    <definedName name="solver_nwt" localSheetId="4" hidden="1">1</definedName>
    <definedName name="solver_opt" localSheetId="5" hidden="1">'Holt Method'!$J$29</definedName>
    <definedName name="solver_opt" localSheetId="4" hidden="1">'Simple Models'!$J$30</definedName>
    <definedName name="solver_pre" localSheetId="5" hidden="1">0.000001</definedName>
    <definedName name="solver_pre" localSheetId="4" hidden="1">0.000001</definedName>
    <definedName name="solver_rbv" localSheetId="5" hidden="1">1</definedName>
    <definedName name="solver_rbv" localSheetId="4" hidden="1">1</definedName>
    <definedName name="solver_rel1" localSheetId="5" hidden="1">1</definedName>
    <definedName name="solver_rel1" localSheetId="4" hidden="1">1</definedName>
    <definedName name="solver_rel2" localSheetId="5" hidden="1">3</definedName>
    <definedName name="solver_rel2" localSheetId="4" hidden="1">3</definedName>
    <definedName name="solver_rel3" localSheetId="5" hidden="1">1</definedName>
    <definedName name="solver_rel4" localSheetId="5" hidden="1">3</definedName>
    <definedName name="solver_rhs1" localSheetId="5" hidden="1">1</definedName>
    <definedName name="solver_rhs1" localSheetId="4" hidden="1">1</definedName>
    <definedName name="solver_rhs2" localSheetId="5" hidden="1">0</definedName>
    <definedName name="solver_rhs2" localSheetId="4" hidden="1">0</definedName>
    <definedName name="solver_rhs3" localSheetId="5" hidden="1">1</definedName>
    <definedName name="solver_rhs4" localSheetId="5" hidden="1">0</definedName>
    <definedName name="solver_rlx" localSheetId="5" hidden="1">2</definedName>
    <definedName name="solver_rlx" localSheetId="4" hidden="1">2</definedName>
    <definedName name="solver_rsd" localSheetId="5" hidden="1">0</definedName>
    <definedName name="solver_rsd" localSheetId="4" hidden="1">0</definedName>
    <definedName name="solver_scl" localSheetId="5" hidden="1">1</definedName>
    <definedName name="solver_scl" localSheetId="4" hidden="1">1</definedName>
    <definedName name="solver_sho" localSheetId="5" hidden="1">2</definedName>
    <definedName name="solver_sho" localSheetId="4" hidden="1">2</definedName>
    <definedName name="solver_ssz" localSheetId="5" hidden="1">100</definedName>
    <definedName name="solver_ssz" localSheetId="4" hidden="1">100</definedName>
    <definedName name="solver_tim" localSheetId="5" hidden="1">2147483647</definedName>
    <definedName name="solver_tim" localSheetId="4" hidden="1">2147483647</definedName>
    <definedName name="solver_tol" localSheetId="5" hidden="1">0.01</definedName>
    <definedName name="solver_tol" localSheetId="4" hidden="1">0.01</definedName>
    <definedName name="solver_typ" localSheetId="5" hidden="1">2</definedName>
    <definedName name="solver_typ" localSheetId="4" hidden="1">2</definedName>
    <definedName name="solver_val" localSheetId="5" hidden="1">0</definedName>
    <definedName name="solver_val" localSheetId="4" hidden="1">0</definedName>
    <definedName name="solver_ver" localSheetId="5" hidden="1">3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8" l="1"/>
  <c r="F26" i="8"/>
  <c r="F28" i="8"/>
  <c r="F29" i="8"/>
  <c r="F30" i="8"/>
  <c r="F32" i="8"/>
  <c r="F33" i="8"/>
  <c r="F34" i="8"/>
  <c r="F35" i="8"/>
  <c r="F36" i="8"/>
  <c r="F37" i="8"/>
  <c r="F27" i="8"/>
  <c r="F15" i="8"/>
  <c r="F16" i="8"/>
  <c r="F17" i="8"/>
  <c r="F18" i="8"/>
  <c r="F19" i="8"/>
  <c r="F20" i="8"/>
  <c r="F21" i="8"/>
  <c r="F22" i="8"/>
  <c r="F23" i="8"/>
  <c r="F24" i="8"/>
  <c r="F25" i="8"/>
  <c r="F14" i="8"/>
  <c r="C15" i="8"/>
  <c r="E15" i="8"/>
  <c r="E14" i="8"/>
  <c r="D14" i="8"/>
  <c r="C14" i="8"/>
  <c r="I14" i="8"/>
  <c r="I13" i="8"/>
  <c r="I4" i="8"/>
  <c r="I5" i="8"/>
  <c r="I6" i="8"/>
  <c r="I7" i="8"/>
  <c r="I8" i="8"/>
  <c r="I9" i="8"/>
  <c r="I10" i="8"/>
  <c r="I11" i="8"/>
  <c r="I12" i="8"/>
  <c r="I3" i="8"/>
  <c r="C13" i="8"/>
  <c r="G3" i="7"/>
  <c r="C3" i="7"/>
  <c r="E3" i="7"/>
  <c r="D2" i="7"/>
  <c r="H30" i="6"/>
  <c r="F30" i="6"/>
  <c r="D30" i="6"/>
  <c r="J30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6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3" i="6"/>
  <c r="J2" i="6"/>
  <c r="I3" i="6"/>
  <c r="J3" i="6" s="1"/>
  <c r="G2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6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3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2" i="4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2" i="2"/>
  <c r="D15" i="8" l="1"/>
  <c r="C16" i="8" s="1"/>
  <c r="D3" i="7"/>
  <c r="C4" i="7" s="1"/>
  <c r="I4" i="6"/>
  <c r="D16" i="8" l="1"/>
  <c r="E16" i="8"/>
  <c r="C17" i="8"/>
  <c r="E4" i="7"/>
  <c r="G4" i="7" s="1"/>
  <c r="D4" i="7"/>
  <c r="C5" i="7" s="1"/>
  <c r="J4" i="6"/>
  <c r="I5" i="6"/>
  <c r="E17" i="8" l="1"/>
  <c r="D17" i="8"/>
  <c r="C18" i="8" s="1"/>
  <c r="E5" i="7"/>
  <c r="G5" i="7" s="1"/>
  <c r="D5" i="7"/>
  <c r="C6" i="7" s="1"/>
  <c r="I6" i="6"/>
  <c r="J5" i="6"/>
  <c r="E18" i="8" l="1"/>
  <c r="D18" i="8"/>
  <c r="C19" i="8" s="1"/>
  <c r="D6" i="7"/>
  <c r="C7" i="7" s="1"/>
  <c r="E6" i="7"/>
  <c r="G6" i="7" s="1"/>
  <c r="I7" i="6"/>
  <c r="J6" i="6"/>
  <c r="D19" i="8" l="1"/>
  <c r="C20" i="8" s="1"/>
  <c r="E19" i="8"/>
  <c r="E7" i="7"/>
  <c r="G7" i="7" s="1"/>
  <c r="D7" i="7"/>
  <c r="E8" i="7" s="1"/>
  <c r="G8" i="7" s="1"/>
  <c r="I8" i="6"/>
  <c r="J7" i="6"/>
  <c r="D20" i="8" l="1"/>
  <c r="C21" i="8" s="1"/>
  <c r="E20" i="8"/>
  <c r="C8" i="7"/>
  <c r="D8" i="7" s="1"/>
  <c r="C9" i="7" s="1"/>
  <c r="I9" i="6"/>
  <c r="J8" i="6"/>
  <c r="D21" i="8" l="1"/>
  <c r="E21" i="8"/>
  <c r="C22" i="8"/>
  <c r="D9" i="7"/>
  <c r="C10" i="7" s="1"/>
  <c r="E9" i="7"/>
  <c r="G9" i="7" s="1"/>
  <c r="I10" i="6"/>
  <c r="J9" i="6"/>
  <c r="D22" i="8" l="1"/>
  <c r="C23" i="8" s="1"/>
  <c r="E22" i="8"/>
  <c r="D10" i="7"/>
  <c r="C11" i="7" s="1"/>
  <c r="E10" i="7"/>
  <c r="G10" i="7" s="1"/>
  <c r="I11" i="6"/>
  <c r="J10" i="6"/>
  <c r="D23" i="8" l="1"/>
  <c r="C24" i="8" s="1"/>
  <c r="E23" i="8"/>
  <c r="D11" i="7"/>
  <c r="E12" i="7" s="1"/>
  <c r="G12" i="7" s="1"/>
  <c r="E11" i="7"/>
  <c r="G11" i="7" s="1"/>
  <c r="I12" i="6"/>
  <c r="J11" i="6"/>
  <c r="D24" i="8" l="1"/>
  <c r="C25" i="8" s="1"/>
  <c r="E24" i="8"/>
  <c r="C12" i="7"/>
  <c r="D12" i="7"/>
  <c r="C13" i="7" s="1"/>
  <c r="I13" i="6"/>
  <c r="J12" i="6"/>
  <c r="E25" i="8" l="1"/>
  <c r="D25" i="8"/>
  <c r="D13" i="7"/>
  <c r="C14" i="7" s="1"/>
  <c r="E13" i="7"/>
  <c r="G13" i="7" s="1"/>
  <c r="I14" i="6"/>
  <c r="J13" i="6"/>
  <c r="D14" i="7" l="1"/>
  <c r="C15" i="7" s="1"/>
  <c r="E14" i="7"/>
  <c r="G14" i="7" s="1"/>
  <c r="I15" i="6"/>
  <c r="J14" i="6"/>
  <c r="D15" i="7" l="1"/>
  <c r="C16" i="7" s="1"/>
  <c r="E15" i="7"/>
  <c r="G15" i="7" s="1"/>
  <c r="I16" i="6"/>
  <c r="J15" i="6"/>
  <c r="D16" i="7" l="1"/>
  <c r="C17" i="7" s="1"/>
  <c r="E16" i="7"/>
  <c r="G16" i="7" s="1"/>
  <c r="I17" i="6"/>
  <c r="J16" i="6"/>
  <c r="D17" i="7" l="1"/>
  <c r="C18" i="7" s="1"/>
  <c r="E17" i="7"/>
  <c r="G17" i="7" s="1"/>
  <c r="I18" i="6"/>
  <c r="J17" i="6"/>
  <c r="D18" i="7" l="1"/>
  <c r="C19" i="7" s="1"/>
  <c r="E18" i="7"/>
  <c r="G18" i="7" s="1"/>
  <c r="I19" i="6"/>
  <c r="J18" i="6"/>
  <c r="D19" i="7" l="1"/>
  <c r="C20" i="7" s="1"/>
  <c r="E19" i="7"/>
  <c r="G19" i="7" s="1"/>
  <c r="I20" i="6"/>
  <c r="J19" i="6"/>
  <c r="D20" i="7" l="1"/>
  <c r="C21" i="7" s="1"/>
  <c r="E20" i="7"/>
  <c r="G20" i="7" s="1"/>
  <c r="I21" i="6"/>
  <c r="J20" i="6"/>
  <c r="D21" i="7" l="1"/>
  <c r="C22" i="7" s="1"/>
  <c r="E21" i="7"/>
  <c r="G21" i="7" s="1"/>
  <c r="I22" i="6"/>
  <c r="J21" i="6"/>
  <c r="D22" i="7" l="1"/>
  <c r="C23" i="7" s="1"/>
  <c r="E22" i="7"/>
  <c r="G22" i="7" s="1"/>
  <c r="I23" i="6"/>
  <c r="J22" i="6"/>
  <c r="D23" i="7" l="1"/>
  <c r="C24" i="7" s="1"/>
  <c r="E23" i="7"/>
  <c r="G23" i="7" s="1"/>
  <c r="I24" i="6"/>
  <c r="J23" i="6"/>
  <c r="D24" i="7" l="1"/>
  <c r="C25" i="7" s="1"/>
  <c r="E24" i="7"/>
  <c r="G24" i="7" s="1"/>
  <c r="I25" i="6"/>
  <c r="J24" i="6"/>
  <c r="D25" i="7" l="1"/>
  <c r="E27" i="7" s="1"/>
  <c r="G27" i="7" s="1"/>
  <c r="E25" i="7"/>
  <c r="G25" i="7" s="1"/>
  <c r="J29" i="7" s="1"/>
  <c r="I26" i="6"/>
  <c r="J25" i="6"/>
  <c r="E26" i="7" l="1"/>
  <c r="G26" i="7" s="1"/>
  <c r="E29" i="7"/>
  <c r="G29" i="7" s="1"/>
  <c r="E28" i="7"/>
  <c r="G28" i="7" s="1"/>
</calcChain>
</file>

<file path=xl/sharedStrings.xml><?xml version="1.0" encoding="utf-8"?>
<sst xmlns="http://schemas.openxmlformats.org/spreadsheetml/2006/main" count="230" uniqueCount="71">
  <si>
    <t>InvoiceDate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</si>
  <si>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</si>
  <si>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</si>
  <si>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</si>
  <si>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</si>
  <si>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</si>
  <si>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</si>
  <si>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</si>
  <si>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</si>
  <si>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</si>
  <si>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</si>
  <si>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</si>
  <si>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</si>
  <si>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</si>
  <si>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Time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</si>
  <si>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</si>
  <si>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</si>
  <si>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</si>
  <si>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</si>
  <si>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</si>
  <si>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</si>
  <si>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</si>
  <si>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</si>
  <si>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</si>
  <si>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</si>
  <si>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</si>
  <si>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</si>
  <si>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</si>
  <si>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</si>
  <si>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</si>
  <si>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</si>
  <si>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</si>
  <si>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</si>
  <si>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</si>
  <si>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</si>
  <si>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</si>
  <si>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</si>
  <si>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</si>
  <si>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</si>
  <si>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</si>
  <si>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</si>
  <si>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Sales</t>
  </si>
  <si>
    <t>Residuals</t>
  </si>
  <si>
    <t>Standard Residuals</t>
  </si>
  <si>
    <t>Forecast</t>
  </si>
  <si>
    <t>Without Trend</t>
  </si>
  <si>
    <t>With Trend</t>
  </si>
  <si>
    <t>Trend</t>
  </si>
  <si>
    <t>Trend 2</t>
  </si>
  <si>
    <t>Naïve</t>
  </si>
  <si>
    <t>Avg</t>
  </si>
  <si>
    <t>MA5</t>
  </si>
  <si>
    <t>SES</t>
  </si>
  <si>
    <t>Alpha</t>
  </si>
  <si>
    <t>SE_SES</t>
  </si>
  <si>
    <t>RMSE</t>
  </si>
  <si>
    <t>SE_Naive</t>
  </si>
  <si>
    <t>Level</t>
  </si>
  <si>
    <t>FC</t>
  </si>
  <si>
    <t>Beta</t>
  </si>
  <si>
    <t>SE</t>
  </si>
  <si>
    <t>Gamma</t>
  </si>
  <si>
    <t>Seasonality</t>
  </si>
  <si>
    <t>j</t>
  </si>
  <si>
    <t>f</t>
  </si>
  <si>
    <t>m</t>
  </si>
  <si>
    <t>a</t>
  </si>
  <si>
    <t>s</t>
  </si>
  <si>
    <t>o</t>
  </si>
  <si>
    <t>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</si>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</sst>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1" fillId="0" borderId="0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4" fontId="3" fillId="0" borderId="0" xfId="0" applyNumberFormat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0" fillId="0" borderId="0" xfId="0" applyFon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2" fillId="0" borderId="0" xfId="0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693926646466829E-2"/>
          <c:y val="0.19114441416893732"/>
          <c:w val="0.87757588831906597"/>
          <c:h val="0.6160033469930700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'Linear Regression'!$A$2:$A$37</c:f>
              <c:numCache>
                <c:formatCode>m/d/yyyy</c:formatCode>
                <c:ptCount val="36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</c:numCache>
            </c:numRef>
          </c:cat>
          <c:val>
            <c:numRef>
              <c:f>'Linear Regression'!$B$2:$B$37</c:f>
              <c:numCache>
                <c:formatCode>General</c:formatCode>
                <c:ptCount val="36"/>
                <c:pt idx="0">
                  <c:v>799847.11</c:v>
                </c:pt>
                <c:pt idx="1">
                  <c:v>624032.89</c:v>
                </c:pt>
                <c:pt idx="2">
                  <c:v>533091.43000000005</c:v>
                </c:pt>
                <c:pt idx="3">
                  <c:v>765848.76</c:v>
                </c:pt>
                <c:pt idx="4">
                  <c:v>590580.43000000005</c:v>
                </c:pt>
                <c:pt idx="5">
                  <c:v>615322.82999999996</c:v>
                </c:pt>
                <c:pt idx="6">
                  <c:v>679786.61</c:v>
                </c:pt>
                <c:pt idx="7">
                  <c:v>575236.36</c:v>
                </c:pt>
                <c:pt idx="8">
                  <c:v>656776.34</c:v>
                </c:pt>
                <c:pt idx="9">
                  <c:v>853650.43</c:v>
                </c:pt>
                <c:pt idx="10">
                  <c:v>1045168.35</c:v>
                </c:pt>
                <c:pt idx="11">
                  <c:v>1422654.64</c:v>
                </c:pt>
                <c:pt idx="12">
                  <c:v>1126445.47</c:v>
                </c:pt>
                <c:pt idx="13">
                  <c:v>560000.26</c:v>
                </c:pt>
                <c:pt idx="14">
                  <c:v>498062.65</c:v>
                </c:pt>
                <c:pt idx="15">
                  <c:v>683267.08</c:v>
                </c:pt>
                <c:pt idx="16">
                  <c:v>493207.12</c:v>
                </c:pt>
                <c:pt idx="17">
                  <c:v>723333.51</c:v>
                </c:pt>
                <c:pt idx="18">
                  <c:v>691123.12</c:v>
                </c:pt>
                <c:pt idx="19">
                  <c:v>681300.11</c:v>
                </c:pt>
                <c:pt idx="20">
                  <c:v>682680.51</c:v>
                </c:pt>
                <c:pt idx="21">
                  <c:v>1019687.62</c:v>
                </c:pt>
                <c:pt idx="22">
                  <c:v>1070704.67</c:v>
                </c:pt>
                <c:pt idx="23">
                  <c:v>1461756.25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1-4C91-BD1D-E74731832D03}"/>
            </c:ext>
          </c:extLst>
        </c:ser>
        <c:ser>
          <c:idx val="1"/>
          <c:order val="1"/>
          <c:tx>
            <c:strRef>
              <c:f>'Linear Regression'!$D$1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'Linear Regression'!$A$2:$A$37</c:f>
              <c:numCache>
                <c:formatCode>m/d/yyyy</c:formatCode>
                <c:ptCount val="36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</c:numCache>
            </c:numRef>
          </c:cat>
          <c:val>
            <c:numRef>
              <c:f>'Linear Regression'!$D$2:$D$37</c:f>
              <c:numCache>
                <c:formatCode>General</c:formatCode>
                <c:ptCount val="36"/>
                <c:pt idx="0">
                  <c:v>629674.09203333326</c:v>
                </c:pt>
                <c:pt idx="1">
                  <c:v>643229.83964637667</c:v>
                </c:pt>
                <c:pt idx="2">
                  <c:v>656785.58725942019</c:v>
                </c:pt>
                <c:pt idx="3">
                  <c:v>670341.33487246372</c:v>
                </c:pt>
                <c:pt idx="4">
                  <c:v>683897.08248550713</c:v>
                </c:pt>
                <c:pt idx="5">
                  <c:v>697452.83009855065</c:v>
                </c:pt>
                <c:pt idx="6">
                  <c:v>711008.57771159406</c:v>
                </c:pt>
                <c:pt idx="7">
                  <c:v>724564.32532463758</c:v>
                </c:pt>
                <c:pt idx="8">
                  <c:v>738120.07293768111</c:v>
                </c:pt>
                <c:pt idx="9">
                  <c:v>751675.82055072451</c:v>
                </c:pt>
                <c:pt idx="10">
                  <c:v>765231.56816376804</c:v>
                </c:pt>
                <c:pt idx="11">
                  <c:v>778787.31577681145</c:v>
                </c:pt>
                <c:pt idx="12">
                  <c:v>792343.06338985497</c:v>
                </c:pt>
                <c:pt idx="13">
                  <c:v>805898.8110028985</c:v>
                </c:pt>
                <c:pt idx="14">
                  <c:v>819454.55861594202</c:v>
                </c:pt>
                <c:pt idx="15">
                  <c:v>833010.30622898543</c:v>
                </c:pt>
                <c:pt idx="16">
                  <c:v>846566.05384202884</c:v>
                </c:pt>
                <c:pt idx="17">
                  <c:v>860121.80145507236</c:v>
                </c:pt>
                <c:pt idx="18">
                  <c:v>873677.54906811588</c:v>
                </c:pt>
                <c:pt idx="19">
                  <c:v>887233.29668115941</c:v>
                </c:pt>
                <c:pt idx="20">
                  <c:v>900789.04429420282</c:v>
                </c:pt>
                <c:pt idx="21">
                  <c:v>914344.79190724634</c:v>
                </c:pt>
                <c:pt idx="22">
                  <c:v>927900.53952028975</c:v>
                </c:pt>
                <c:pt idx="23">
                  <c:v>941456.28713333327</c:v>
                </c:pt>
                <c:pt idx="24">
                  <c:v>955012.0347463768</c:v>
                </c:pt>
                <c:pt idx="25">
                  <c:v>968567.78235942021</c:v>
                </c:pt>
                <c:pt idx="26">
                  <c:v>982123.52997246373</c:v>
                </c:pt>
                <c:pt idx="27">
                  <c:v>995679.27758550714</c:v>
                </c:pt>
                <c:pt idx="28">
                  <c:v>1009235.0251985507</c:v>
                </c:pt>
                <c:pt idx="29">
                  <c:v>1022790.7728115942</c:v>
                </c:pt>
                <c:pt idx="30">
                  <c:v>1036346.5204246377</c:v>
                </c:pt>
                <c:pt idx="31">
                  <c:v>1049902.268037681</c:v>
                </c:pt>
                <c:pt idx="32">
                  <c:v>1063458.0156507245</c:v>
                </c:pt>
                <c:pt idx="33">
                  <c:v>1077013.7632637681</c:v>
                </c:pt>
                <c:pt idx="34">
                  <c:v>1090569.5108768116</c:v>
                </c:pt>
                <c:pt idx="35">
                  <c:v>1104125.2584898551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1-4C91-BD1D-E74731832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026303"/>
        <c:axId val="1539024383"/>
      </c:lineChart>
      <c:dateAx>
        <c:axId val="15390263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24383"/>
        <c:crosses val="autoZero"/>
        <c:auto val="1"/>
        <c:lblOffset val="100"/>
        <c:baseTimeUnit val="months"/>
      </c:dateAx>
      <c:valAx>
        <c:axId val="153902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2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Polynominal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46981627296589"/>
          <c:y val="3.1094442936012309E-2"/>
          <c:w val="0.83953018372703414"/>
          <c:h val="0.76721669633815459"/>
        </c:manualLayout>
      </c:layout>
      <c:lineChart>
        <c:grouping val="standard"/>
        <c:varyColors val="0"/>
        <c:ser>
          <c:idx val="0"/>
          <c:order val="0"/>
          <c:tx>
            <c:strRef>
              <c:f>'Polynominal Regresson'!$B$1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'Polynominal Regresson'!$A$2:$A$37</c:f>
              <c:numCache>
                <c:formatCode>m/d/yyyy</c:formatCode>
                <c:ptCount val="36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</c:numCache>
            </c:numRef>
          </c:cat>
          <c:val>
            <c:numRef>
              <c:f>'Polynominal Regresson'!$B$2:$B$37</c:f>
              <c:numCache>
                <c:formatCode>General</c:formatCode>
                <c:ptCount val="36"/>
                <c:pt idx="0">
                  <c:v>799847.11</c:v>
                </c:pt>
                <c:pt idx="1">
                  <c:v>624032.89</c:v>
                </c:pt>
                <c:pt idx="2">
                  <c:v>533091.43000000005</c:v>
                </c:pt>
                <c:pt idx="3">
                  <c:v>765848.76</c:v>
                </c:pt>
                <c:pt idx="4">
                  <c:v>590580.43000000005</c:v>
                </c:pt>
                <c:pt idx="5">
                  <c:v>615322.82999999996</c:v>
                </c:pt>
                <c:pt idx="6">
                  <c:v>679786.61</c:v>
                </c:pt>
                <c:pt idx="7">
                  <c:v>575236.36</c:v>
                </c:pt>
                <c:pt idx="8">
                  <c:v>656776.34</c:v>
                </c:pt>
                <c:pt idx="9">
                  <c:v>853650.43</c:v>
                </c:pt>
                <c:pt idx="10">
                  <c:v>1045168.35</c:v>
                </c:pt>
                <c:pt idx="11">
                  <c:v>1422654.64</c:v>
                </c:pt>
                <c:pt idx="12">
                  <c:v>1126445.47</c:v>
                </c:pt>
                <c:pt idx="13">
                  <c:v>560000.26</c:v>
                </c:pt>
                <c:pt idx="14">
                  <c:v>498062.65</c:v>
                </c:pt>
                <c:pt idx="15">
                  <c:v>683267.08</c:v>
                </c:pt>
                <c:pt idx="16">
                  <c:v>493207.12</c:v>
                </c:pt>
                <c:pt idx="17">
                  <c:v>723333.51</c:v>
                </c:pt>
                <c:pt idx="18">
                  <c:v>691123.12</c:v>
                </c:pt>
                <c:pt idx="19">
                  <c:v>681300.11</c:v>
                </c:pt>
                <c:pt idx="20">
                  <c:v>682680.51</c:v>
                </c:pt>
                <c:pt idx="21">
                  <c:v>1019687.62</c:v>
                </c:pt>
                <c:pt idx="22">
                  <c:v>1070704.67</c:v>
                </c:pt>
                <c:pt idx="23">
                  <c:v>1461756.25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0-4973-8BC9-A731E3F8E834}"/>
            </c:ext>
          </c:extLst>
        </c:ser>
        <c:ser>
          <c:idx val="1"/>
          <c:order val="1"/>
          <c:tx>
            <c:strRef>
              <c:f>'Polynominal Regresson'!$E$1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'Polynominal Regresson'!$A$2:$A$37</c:f>
              <c:numCache>
                <c:formatCode>m/d/yyyy</c:formatCode>
                <c:ptCount val="36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</c:numCache>
            </c:numRef>
          </c:cat>
          <c:val>
            <c:numRef>
              <c:f>'Polynominal Regresson'!$E$2:$E$37</c:f>
              <c:numCache>
                <c:formatCode>General</c:formatCode>
                <c:ptCount val="36"/>
                <c:pt idx="0">
                  <c:v>720578.07329615357</c:v>
                </c:pt>
                <c:pt idx="1">
                  <c:v>710419.73884063528</c:v>
                </c:pt>
                <c:pt idx="2">
                  <c:v>702417.23002771346</c:v>
                </c:pt>
                <c:pt idx="3">
                  <c:v>696570.54685738811</c:v>
                </c:pt>
                <c:pt idx="4">
                  <c:v>692879.68932965922</c:v>
                </c:pt>
                <c:pt idx="5">
                  <c:v>691344.65744452702</c:v>
                </c:pt>
                <c:pt idx="6">
                  <c:v>691965.45120199141</c:v>
                </c:pt>
                <c:pt idx="7">
                  <c:v>694742.07060205215</c:v>
                </c:pt>
                <c:pt idx="8">
                  <c:v>699674.51564470946</c:v>
                </c:pt>
                <c:pt idx="9">
                  <c:v>706762.78632996348</c:v>
                </c:pt>
                <c:pt idx="10">
                  <c:v>716006.88265781384</c:v>
                </c:pt>
                <c:pt idx="11">
                  <c:v>727406.80462826078</c:v>
                </c:pt>
                <c:pt idx="12">
                  <c:v>740962.55224130419</c:v>
                </c:pt>
                <c:pt idx="13">
                  <c:v>756674.12549694418</c:v>
                </c:pt>
                <c:pt idx="14">
                  <c:v>774541.52439518087</c:v>
                </c:pt>
                <c:pt idx="15">
                  <c:v>794564.7489360139</c:v>
                </c:pt>
                <c:pt idx="16">
                  <c:v>816743.79911944352</c:v>
                </c:pt>
                <c:pt idx="17">
                  <c:v>841078.67494546971</c:v>
                </c:pt>
                <c:pt idx="18">
                  <c:v>867569.37641409237</c:v>
                </c:pt>
                <c:pt idx="19">
                  <c:v>896215.90352531162</c:v>
                </c:pt>
                <c:pt idx="20">
                  <c:v>927018.25627912732</c:v>
                </c:pt>
                <c:pt idx="21">
                  <c:v>959976.43467553961</c:v>
                </c:pt>
                <c:pt idx="22">
                  <c:v>995090.43871454848</c:v>
                </c:pt>
                <c:pt idx="23">
                  <c:v>1032360.2683961538</c:v>
                </c:pt>
                <c:pt idx="24">
                  <c:v>1071785.9237203556</c:v>
                </c:pt>
                <c:pt idx="25">
                  <c:v>1113367.4046871541</c:v>
                </c:pt>
                <c:pt idx="26">
                  <c:v>1157104.7112965491</c:v>
                </c:pt>
                <c:pt idx="27">
                  <c:v>1202997.8435485405</c:v>
                </c:pt>
                <c:pt idx="28">
                  <c:v>1251046.8014431286</c:v>
                </c:pt>
                <c:pt idx="29">
                  <c:v>1301251.5849803132</c:v>
                </c:pt>
                <c:pt idx="30">
                  <c:v>1353612.1941600943</c:v>
                </c:pt>
                <c:pt idx="31">
                  <c:v>1408128.6289824718</c:v>
                </c:pt>
                <c:pt idx="32">
                  <c:v>1464800.889447446</c:v>
                </c:pt>
                <c:pt idx="33">
                  <c:v>1523628.9755550169</c:v>
                </c:pt>
                <c:pt idx="34">
                  <c:v>1584612.887305184</c:v>
                </c:pt>
                <c:pt idx="35">
                  <c:v>1647752.6246979476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A0-4973-8BC9-A731E3F8E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789936"/>
        <c:axId val="986791376"/>
      </c:lineChart>
      <c:dateAx>
        <c:axId val="986789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91376"/>
        <c:crosses val="autoZero"/>
        <c:auto val="1"/>
        <c:lblOffset val="100"/>
        <c:baseTimeUnit val="months"/>
      </c:dateAx>
      <c:valAx>
        <c:axId val="98679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8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Multiple</a:t>
            </a:r>
            <a:r>
              <a:rPr lang="en-US" baseline="0"/>
              <a:t> Linear Regression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'Multiple Linear Regression'!$A$2:$A$37</c:f>
              <c:numCache>
                <c:formatCode>m/d/yyyy</c:formatCode>
                <c:ptCount val="36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</c:numCache>
            </c:numRef>
          </c:cat>
          <c:val>
            <c:numRef>
              <c:f>'Multiple Linear Regression'!$B$2:$B$37</c:f>
              <c:numCache>
                <c:formatCode>General</c:formatCode>
                <c:ptCount val="36"/>
                <c:pt idx="0">
                  <c:v>799847.11</c:v>
                </c:pt>
                <c:pt idx="1">
                  <c:v>624032.89</c:v>
                </c:pt>
                <c:pt idx="2">
                  <c:v>533091.43000000005</c:v>
                </c:pt>
                <c:pt idx="3">
                  <c:v>765848.76</c:v>
                </c:pt>
                <c:pt idx="4">
                  <c:v>590580.43000000005</c:v>
                </c:pt>
                <c:pt idx="5">
                  <c:v>615322.82999999996</c:v>
                </c:pt>
                <c:pt idx="6">
                  <c:v>679786.61</c:v>
                </c:pt>
                <c:pt idx="7">
                  <c:v>575236.36</c:v>
                </c:pt>
                <c:pt idx="8">
                  <c:v>656776.34</c:v>
                </c:pt>
                <c:pt idx="9">
                  <c:v>853650.43</c:v>
                </c:pt>
                <c:pt idx="10">
                  <c:v>1045168.35</c:v>
                </c:pt>
                <c:pt idx="11">
                  <c:v>1422654.64</c:v>
                </c:pt>
                <c:pt idx="12">
                  <c:v>1126445.47</c:v>
                </c:pt>
                <c:pt idx="13">
                  <c:v>560000.26</c:v>
                </c:pt>
                <c:pt idx="14">
                  <c:v>498062.65</c:v>
                </c:pt>
                <c:pt idx="15">
                  <c:v>683267.08</c:v>
                </c:pt>
                <c:pt idx="16">
                  <c:v>493207.12</c:v>
                </c:pt>
                <c:pt idx="17">
                  <c:v>723333.51</c:v>
                </c:pt>
                <c:pt idx="18">
                  <c:v>691123.12</c:v>
                </c:pt>
                <c:pt idx="19">
                  <c:v>681300.11</c:v>
                </c:pt>
                <c:pt idx="20">
                  <c:v>682680.51</c:v>
                </c:pt>
                <c:pt idx="21">
                  <c:v>1019687.62</c:v>
                </c:pt>
                <c:pt idx="22">
                  <c:v>1070704.67</c:v>
                </c:pt>
                <c:pt idx="23">
                  <c:v>1461756.25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5-48A7-A149-1B7FCDB063E7}"/>
            </c:ext>
          </c:extLst>
        </c:ser>
        <c:ser>
          <c:idx val="1"/>
          <c:order val="1"/>
          <c:tx>
            <c:strRef>
              <c:f>'Multiple Linear Regression'!$P$1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'Multiple Linear Regression'!$A$2:$A$37</c:f>
              <c:numCache>
                <c:formatCode>m/d/yyyy</c:formatCode>
                <c:ptCount val="36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</c:numCache>
            </c:numRef>
          </c:cat>
          <c:val>
            <c:numRef>
              <c:f>'Multiple Linear Regression'!$P$2:$P$37</c:f>
              <c:numCache>
                <c:formatCode>General</c:formatCode>
                <c:ptCount val="36"/>
                <c:pt idx="0">
                  <c:v>963146.2899999998</c:v>
                </c:pt>
                <c:pt idx="1">
                  <c:v>592016.57499999972</c:v>
                </c:pt>
                <c:pt idx="2">
                  <c:v>515577.03999999946</c:v>
                </c:pt>
                <c:pt idx="3">
                  <c:v>724557.92000000074</c:v>
                </c:pt>
                <c:pt idx="4">
                  <c:v>541893.77500000072</c:v>
                </c:pt>
                <c:pt idx="5">
                  <c:v>669328.16999999993</c:v>
                </c:pt>
                <c:pt idx="6">
                  <c:v>685454.86499999918</c:v>
                </c:pt>
                <c:pt idx="7">
                  <c:v>628268.23499999975</c:v>
                </c:pt>
                <c:pt idx="8">
                  <c:v>669728.4249999997</c:v>
                </c:pt>
                <c:pt idx="9">
                  <c:v>936669.02499999967</c:v>
                </c:pt>
                <c:pt idx="10">
                  <c:v>1057936.5099999998</c:v>
                </c:pt>
                <c:pt idx="11">
                  <c:v>1442205.4450000001</c:v>
                </c:pt>
                <c:pt idx="12">
                  <c:v>963146.2899999998</c:v>
                </c:pt>
                <c:pt idx="13">
                  <c:v>592016.57499999972</c:v>
                </c:pt>
                <c:pt idx="14">
                  <c:v>515577.03999999946</c:v>
                </c:pt>
                <c:pt idx="15">
                  <c:v>724557.92000000074</c:v>
                </c:pt>
                <c:pt idx="16">
                  <c:v>541893.77500000072</c:v>
                </c:pt>
                <c:pt idx="17">
                  <c:v>669328.16999999993</c:v>
                </c:pt>
                <c:pt idx="18">
                  <c:v>685454.86499999918</c:v>
                </c:pt>
                <c:pt idx="19">
                  <c:v>628268.23499999975</c:v>
                </c:pt>
                <c:pt idx="20">
                  <c:v>669728.4249999997</c:v>
                </c:pt>
                <c:pt idx="21">
                  <c:v>936669.02499999967</c:v>
                </c:pt>
                <c:pt idx="22">
                  <c:v>1057936.5099999998</c:v>
                </c:pt>
                <c:pt idx="23">
                  <c:v>1442205.4450000001</c:v>
                </c:pt>
                <c:pt idx="24">
                  <c:v>963146.2899999998</c:v>
                </c:pt>
                <c:pt idx="25">
                  <c:v>592016.57499999972</c:v>
                </c:pt>
                <c:pt idx="26">
                  <c:v>515577.03999999946</c:v>
                </c:pt>
                <c:pt idx="27">
                  <c:v>724557.92000000074</c:v>
                </c:pt>
                <c:pt idx="28">
                  <c:v>541893.77500000072</c:v>
                </c:pt>
                <c:pt idx="29">
                  <c:v>669328.16999999993</c:v>
                </c:pt>
                <c:pt idx="30">
                  <c:v>685454.86499999918</c:v>
                </c:pt>
                <c:pt idx="31">
                  <c:v>628268.23499999975</c:v>
                </c:pt>
                <c:pt idx="32">
                  <c:v>669728.4249999997</c:v>
                </c:pt>
                <c:pt idx="33">
                  <c:v>936669.02499999967</c:v>
                </c:pt>
                <c:pt idx="34">
                  <c:v>1057936.5099999998</c:v>
                </c:pt>
                <c:pt idx="35">
                  <c:v>1442205.4450000001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5-48A7-A149-1B7FCDB06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445696"/>
        <c:axId val="1038462976"/>
      </c:lineChart>
      <c:dateAx>
        <c:axId val="1038445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462976"/>
        <c:crosses val="autoZero"/>
        <c:auto val="1"/>
        <c:lblOffset val="100"/>
        <c:baseTimeUnit val="months"/>
      </c:dateAx>
      <c:valAx>
        <c:axId val="103846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44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Models'!$B$1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'Simple Models'!$A$2:$A$26</c:f>
              <c:numCache>
                <c:formatCode>m/d/yyyy</c:formatCode>
                <c:ptCount val="25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</c:numCache>
            </c:numRef>
          </c:cat>
          <c:val>
            <c:numRef>
              <c:f>'Simple Models'!$B$2:$B$26</c:f>
              <c:numCache>
                <c:formatCode>General</c:formatCode>
                <c:ptCount val="25"/>
                <c:pt idx="0">
                  <c:v>799847.11</c:v>
                </c:pt>
                <c:pt idx="1">
                  <c:v>624032.89</c:v>
                </c:pt>
                <c:pt idx="2">
                  <c:v>533091.43000000005</c:v>
                </c:pt>
                <c:pt idx="3">
                  <c:v>765848.76</c:v>
                </c:pt>
                <c:pt idx="4">
                  <c:v>590580.43000000005</c:v>
                </c:pt>
                <c:pt idx="5">
                  <c:v>615322.82999999996</c:v>
                </c:pt>
                <c:pt idx="6">
                  <c:v>679786.61</c:v>
                </c:pt>
                <c:pt idx="7">
                  <c:v>575236.36</c:v>
                </c:pt>
                <c:pt idx="8">
                  <c:v>656776.34</c:v>
                </c:pt>
                <c:pt idx="9">
                  <c:v>853650.43</c:v>
                </c:pt>
                <c:pt idx="10">
                  <c:v>1045168.35</c:v>
                </c:pt>
                <c:pt idx="11">
                  <c:v>1422654.64</c:v>
                </c:pt>
                <c:pt idx="12">
                  <c:v>1126445.47</c:v>
                </c:pt>
                <c:pt idx="13">
                  <c:v>560000.26</c:v>
                </c:pt>
                <c:pt idx="14">
                  <c:v>498062.65</c:v>
                </c:pt>
                <c:pt idx="15">
                  <c:v>683267.08</c:v>
                </c:pt>
                <c:pt idx="16">
                  <c:v>493207.12</c:v>
                </c:pt>
                <c:pt idx="17">
                  <c:v>723333.51</c:v>
                </c:pt>
                <c:pt idx="18">
                  <c:v>691123.12</c:v>
                </c:pt>
                <c:pt idx="19">
                  <c:v>681300.11</c:v>
                </c:pt>
                <c:pt idx="20">
                  <c:v>682680.51</c:v>
                </c:pt>
                <c:pt idx="21">
                  <c:v>1019687.62</c:v>
                </c:pt>
                <c:pt idx="22">
                  <c:v>1070704.67</c:v>
                </c:pt>
                <c:pt idx="23">
                  <c:v>1461756.25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1-4299-B85B-76FAF4C604E7}"/>
            </c:ext>
          </c:extLst>
        </c:ser>
        <c:ser>
          <c:idx val="1"/>
          <c:order val="1"/>
          <c:tx>
            <c:strRef>
              <c:f>'Simple Models'!$C$1</c:f>
              <c:strCache>
                <c:ptCount val="1"/>
                <c:pt idx="0">
                  <c:v>Naïve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'Simple Models'!$A$2:$A$26</c:f>
              <c:numCache>
                <c:formatCode>m/d/yyyy</c:formatCode>
                <c:ptCount val="25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</c:numCache>
            </c:numRef>
          </c:cat>
          <c:val>
            <c:numRef>
              <c:f>'Simple Models'!$C$2:$C$26</c:f>
              <c:numCache>
                <c:formatCode>General</c:formatCode>
                <c:ptCount val="25"/>
                <c:pt idx="1">
                  <c:v>799847.11</c:v>
                </c:pt>
                <c:pt idx="2">
                  <c:v>624032.89</c:v>
                </c:pt>
                <c:pt idx="3">
                  <c:v>533091.43000000005</c:v>
                </c:pt>
                <c:pt idx="4">
                  <c:v>765848.76</c:v>
                </c:pt>
                <c:pt idx="5">
                  <c:v>590580.43000000005</c:v>
                </c:pt>
                <c:pt idx="6">
                  <c:v>615322.82999999996</c:v>
                </c:pt>
                <c:pt idx="7">
                  <c:v>679786.61</c:v>
                </c:pt>
                <c:pt idx="8">
                  <c:v>575236.36</c:v>
                </c:pt>
                <c:pt idx="9">
                  <c:v>656776.34</c:v>
                </c:pt>
                <c:pt idx="10">
                  <c:v>853650.43</c:v>
                </c:pt>
                <c:pt idx="11">
                  <c:v>1045168.35</c:v>
                </c:pt>
                <c:pt idx="12">
                  <c:v>1422654.64</c:v>
                </c:pt>
                <c:pt idx="13">
                  <c:v>1126445.47</c:v>
                </c:pt>
                <c:pt idx="14">
                  <c:v>560000.26</c:v>
                </c:pt>
                <c:pt idx="15">
                  <c:v>498062.65</c:v>
                </c:pt>
                <c:pt idx="16">
                  <c:v>683267.08</c:v>
                </c:pt>
                <c:pt idx="17">
                  <c:v>493207.12</c:v>
                </c:pt>
                <c:pt idx="18">
                  <c:v>723333.51</c:v>
                </c:pt>
                <c:pt idx="19">
                  <c:v>691123.12</c:v>
                </c:pt>
                <c:pt idx="20">
                  <c:v>681300.11</c:v>
                </c:pt>
                <c:pt idx="21">
                  <c:v>682680.51</c:v>
                </c:pt>
                <c:pt idx="22">
                  <c:v>1019687.62</c:v>
                </c:pt>
                <c:pt idx="23">
                  <c:v>1070704.67</c:v>
                </c:pt>
                <c:pt idx="24">
                  <c:v>1461756.25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11-4299-B85B-76FAF4C604E7}"/>
            </c:ext>
          </c:extLst>
        </c:ser>
        <c:ser>
          <c:idx val="2"/>
          <c:order val="2"/>
          <c:tx>
            <c:strRef>
              <c:f>'Simple Models'!$E$1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'Simple Models'!$A$2:$A$26</c:f>
              <c:numCache>
                <c:formatCode>m/d/yyyy</c:formatCode>
                <c:ptCount val="25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</c:numCache>
            </c:numRef>
          </c:cat>
          <c:val>
            <c:numRef>
              <c:f>'Simple Models'!$E$2:$E$26</c:f>
              <c:numCache>
                <c:formatCode>General</c:formatCode>
                <c:ptCount val="25"/>
                <c:pt idx="1">
                  <c:v>711940</c:v>
                </c:pt>
                <c:pt idx="2">
                  <c:v>652323.81000000006</c:v>
                </c:pt>
                <c:pt idx="3">
                  <c:v>680705.0475000001</c:v>
                </c:pt>
                <c:pt idx="4">
                  <c:v>662680.12400000007</c:v>
                </c:pt>
                <c:pt idx="5">
                  <c:v>654787.24166666681</c:v>
                </c:pt>
                <c:pt idx="6">
                  <c:v>658358.58000000007</c:v>
                </c:pt>
                <c:pt idx="7">
                  <c:v>647968.30250000011</c:v>
                </c:pt>
                <c:pt idx="8">
                  <c:v>648946.97333333339</c:v>
                </c:pt>
                <c:pt idx="9">
                  <c:v>669417.31900000002</c:v>
                </c:pt>
                <c:pt idx="10">
                  <c:v>703576.50363636366</c:v>
                </c:pt>
                <c:pt idx="11">
                  <c:v>763499.68166666664</c:v>
                </c:pt>
                <c:pt idx="12">
                  <c:v>791418.58846153854</c:v>
                </c:pt>
                <c:pt idx="13">
                  <c:v>774888.7078571429</c:v>
                </c:pt>
                <c:pt idx="14">
                  <c:v>756433.63733333338</c:v>
                </c:pt>
                <c:pt idx="15">
                  <c:v>751860.72750000004</c:v>
                </c:pt>
                <c:pt idx="16">
                  <c:v>736645.80941176473</c:v>
                </c:pt>
                <c:pt idx="17">
                  <c:v>735906.23722222215</c:v>
                </c:pt>
                <c:pt idx="18">
                  <c:v>733549.23105263151</c:v>
                </c:pt>
                <c:pt idx="19">
                  <c:v>730936.77499999991</c:v>
                </c:pt>
                <c:pt idx="20">
                  <c:v>728638.85761904751</c:v>
                </c:pt>
                <c:pt idx="21">
                  <c:v>741868.34681818169</c:v>
                </c:pt>
                <c:pt idx="22">
                  <c:v>756165.57826086949</c:v>
                </c:pt>
                <c:pt idx="23">
                  <c:v>785565.18958333321</c:v>
                </c:pt>
                <c:pt idx="24">
                  <c:v>785565.18958333321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11-4299-B85B-76FAF4C604E7}"/>
            </c:ext>
          </c:extLst>
        </c:ser>
        <c:ser>
          <c:idx val="3"/>
          <c:order val="3"/>
          <c:tx>
            <c:strRef>
              <c:f>'Simple Models'!$G$1</c:f>
              <c:strCache>
                <c:ptCount val="1"/>
                <c:pt idx="0">
                  <c:v>MA5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'Simple Models'!$A$2:$A$26</c:f>
              <c:numCache>
                <c:formatCode>m/d/yyyy</c:formatCode>
                <c:ptCount val="25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</c:numCache>
            </c:numRef>
          </c:cat>
          <c:val>
            <c:numRef>
              <c:f>'Simple Models'!$G$2:$G$26</c:f>
              <c:numCache>
                <c:formatCode>General</c:formatCode>
                <c:ptCount val="25"/>
                <c:pt idx="4">
                  <c:v>662680.12400000007</c:v>
                </c:pt>
                <c:pt idx="5">
                  <c:v>625775.26800000004</c:v>
                </c:pt>
                <c:pt idx="6">
                  <c:v>636926.01199999999</c:v>
                </c:pt>
                <c:pt idx="7">
                  <c:v>645354.99799999991</c:v>
                </c:pt>
                <c:pt idx="8">
                  <c:v>623540.51399999997</c:v>
                </c:pt>
                <c:pt idx="9">
                  <c:v>676154.51399999997</c:v>
                </c:pt>
                <c:pt idx="10">
                  <c:v>762123.61800000002</c:v>
                </c:pt>
                <c:pt idx="11">
                  <c:v>910697.22400000005</c:v>
                </c:pt>
                <c:pt idx="12">
                  <c:v>1020939.0459999999</c:v>
                </c:pt>
                <c:pt idx="13">
                  <c:v>1001583.8299999998</c:v>
                </c:pt>
                <c:pt idx="14">
                  <c:v>930466.27399999998</c:v>
                </c:pt>
                <c:pt idx="15">
                  <c:v>858086.0199999999</c:v>
                </c:pt>
                <c:pt idx="16">
                  <c:v>672196.51600000006</c:v>
                </c:pt>
                <c:pt idx="17">
                  <c:v>591574.12400000007</c:v>
                </c:pt>
                <c:pt idx="18">
                  <c:v>617798.69600000011</c:v>
                </c:pt>
                <c:pt idx="19">
                  <c:v>654446.18799999997</c:v>
                </c:pt>
                <c:pt idx="20">
                  <c:v>654328.87400000007</c:v>
                </c:pt>
                <c:pt idx="21">
                  <c:v>759624.97400000005</c:v>
                </c:pt>
                <c:pt idx="22">
                  <c:v>829099.20600000001</c:v>
                </c:pt>
                <c:pt idx="23">
                  <c:v>983225.83200000005</c:v>
                </c:pt>
                <c:pt idx="24">
                  <c:v>1058707.2625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11-4299-B85B-76FAF4C604E7}"/>
            </c:ext>
          </c:extLst>
        </c:ser>
        <c:ser>
          <c:idx val="4"/>
          <c:order val="4"/>
          <c:tx>
            <c:strRef>
              <c:f>'Simple Models'!$I$1</c:f>
              <c:strCache>
                <c:ptCount val="1"/>
                <c:pt idx="0">
                  <c:v>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'Simple Models'!$A$2:$A$26</c:f>
              <c:numCache>
                <c:formatCode>m/d/yyyy</c:formatCode>
                <c:ptCount val="25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</c:numCache>
            </c:numRef>
          </c:cat>
          <c:val>
            <c:numRef>
              <c:f>'Simple Models'!$I$2:$I$26</c:f>
              <c:numCache>
                <c:formatCode>General</c:formatCode>
                <c:ptCount val="25"/>
                <c:pt idx="0">
                  <c:v>799847.11</c:v>
                </c:pt>
                <c:pt idx="1">
                  <c:v>799847.11</c:v>
                </c:pt>
                <c:pt idx="2">
                  <c:v>624032.89</c:v>
                </c:pt>
                <c:pt idx="3">
                  <c:v>533091.43000000005</c:v>
                </c:pt>
                <c:pt idx="4">
                  <c:v>765848.76</c:v>
                </c:pt>
                <c:pt idx="5">
                  <c:v>590580.43000000005</c:v>
                </c:pt>
                <c:pt idx="6">
                  <c:v>615322.82999999996</c:v>
                </c:pt>
                <c:pt idx="7">
                  <c:v>679786.61</c:v>
                </c:pt>
                <c:pt idx="8">
                  <c:v>575236.36</c:v>
                </c:pt>
                <c:pt idx="9">
                  <c:v>656776.34</c:v>
                </c:pt>
                <c:pt idx="10">
                  <c:v>853650.43</c:v>
                </c:pt>
                <c:pt idx="11">
                  <c:v>1045168.35</c:v>
                </c:pt>
                <c:pt idx="12">
                  <c:v>1422654.64</c:v>
                </c:pt>
                <c:pt idx="13">
                  <c:v>1126445.47</c:v>
                </c:pt>
                <c:pt idx="14">
                  <c:v>560000.26</c:v>
                </c:pt>
                <c:pt idx="15">
                  <c:v>498062.65</c:v>
                </c:pt>
                <c:pt idx="16">
                  <c:v>683267.08</c:v>
                </c:pt>
                <c:pt idx="17">
                  <c:v>493207.12</c:v>
                </c:pt>
                <c:pt idx="18">
                  <c:v>723333.51</c:v>
                </c:pt>
                <c:pt idx="19">
                  <c:v>691123.12</c:v>
                </c:pt>
                <c:pt idx="20">
                  <c:v>681300.11</c:v>
                </c:pt>
                <c:pt idx="21">
                  <c:v>682680.51</c:v>
                </c:pt>
                <c:pt idx="22">
                  <c:v>1019687.62</c:v>
                </c:pt>
                <c:pt idx="23">
                  <c:v>1070704.67</c:v>
                </c:pt>
                <c:pt idx="24">
                  <c:v>1461756.25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11-4299-B85B-76FAF4C60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438496"/>
        <c:axId val="1038443296"/>
      </c:lineChart>
      <c:dateAx>
        <c:axId val="1038438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443296"/>
        <c:crosses val="autoZero"/>
        <c:auto val="1"/>
        <c:lblOffset val="100"/>
        <c:baseTimeUnit val="months"/>
      </c:dateAx>
      <c:valAx>
        <c:axId val="10384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43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35826771653543"/>
          <c:y val="2.7777777777777776E-2"/>
          <c:w val="0.83531474190726163"/>
          <c:h val="0.7293237824438612"/>
        </c:manualLayout>
      </c:layout>
      <c:lineChart>
        <c:grouping val="standard"/>
        <c:varyColors val="0"/>
        <c:ser>
          <c:idx val="0"/>
          <c:order val="0"/>
          <c:tx>
            <c:strRef>
              <c:f>'Holt Method'!$B$1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'Holt Method'!$A$2:$A$29</c:f>
              <c:numCache>
                <c:formatCode>m/d/yyyy</c:formatCode>
                <c:ptCount val="28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</c:numCache>
            </c:numRef>
          </c:cat>
          <c:val>
            <c:numRef>
              <c:f>'Holt Method'!$B$2:$B$29</c:f>
              <c:numCache>
                <c:formatCode>General</c:formatCode>
                <c:ptCount val="28"/>
                <c:pt idx="0">
                  <c:v>799847.11</c:v>
                </c:pt>
                <c:pt idx="1">
                  <c:v>624032.89</c:v>
                </c:pt>
                <c:pt idx="2">
                  <c:v>533091.43000000005</c:v>
                </c:pt>
                <c:pt idx="3">
                  <c:v>765848.76</c:v>
                </c:pt>
                <c:pt idx="4">
                  <c:v>590580.43000000005</c:v>
                </c:pt>
                <c:pt idx="5">
                  <c:v>615322.82999999996</c:v>
                </c:pt>
                <c:pt idx="6">
                  <c:v>679786.61</c:v>
                </c:pt>
                <c:pt idx="7">
                  <c:v>575236.36</c:v>
                </c:pt>
                <c:pt idx="8">
                  <c:v>656776.34</c:v>
                </c:pt>
                <c:pt idx="9">
                  <c:v>853650.43</c:v>
                </c:pt>
                <c:pt idx="10">
                  <c:v>1045168.35</c:v>
                </c:pt>
                <c:pt idx="11">
                  <c:v>1422654.64</c:v>
                </c:pt>
                <c:pt idx="12">
                  <c:v>1126445.47</c:v>
                </c:pt>
                <c:pt idx="13">
                  <c:v>560000.26</c:v>
                </c:pt>
                <c:pt idx="14">
                  <c:v>498062.65</c:v>
                </c:pt>
                <c:pt idx="15">
                  <c:v>683267.08</c:v>
                </c:pt>
                <c:pt idx="16">
                  <c:v>493207.12</c:v>
                </c:pt>
                <c:pt idx="17">
                  <c:v>723333.51</c:v>
                </c:pt>
                <c:pt idx="18">
                  <c:v>691123.12</c:v>
                </c:pt>
                <c:pt idx="19">
                  <c:v>681300.11</c:v>
                </c:pt>
                <c:pt idx="20">
                  <c:v>682680.51</c:v>
                </c:pt>
                <c:pt idx="21">
                  <c:v>1019687.62</c:v>
                </c:pt>
                <c:pt idx="22">
                  <c:v>1070704.67</c:v>
                </c:pt>
                <c:pt idx="23">
                  <c:v>1461756.25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5-48EE-B1FE-B9E103FD561C}"/>
            </c:ext>
          </c:extLst>
        </c:ser>
        <c:ser>
          <c:idx val="1"/>
          <c:order val="1"/>
          <c:tx>
            <c:strRef>
              <c:f>'Holt Method'!$E$1</c:f>
              <c:strCache>
                <c:ptCount val="1"/>
                <c:pt idx="0">
                  <c:v>FC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'Holt Method'!$A$2:$A$29</c:f>
              <c:numCache>
                <c:formatCode>m/d/yyyy</c:formatCode>
                <c:ptCount val="28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</c:numCache>
            </c:numRef>
          </c:cat>
          <c:val>
            <c:numRef>
              <c:f>'Holt Method'!$E$2:$E$29</c:f>
              <c:numCache>
                <c:formatCode>General</c:formatCode>
                <c:ptCount val="28"/>
                <c:pt idx="1">
                  <c:v>624032.89</c:v>
                </c:pt>
                <c:pt idx="2">
                  <c:v>448218.67000000004</c:v>
                </c:pt>
                <c:pt idx="3">
                  <c:v>393588.13093014108</c:v>
                </c:pt>
                <c:pt idx="4">
                  <c:v>789692.5231981473</c:v>
                </c:pt>
                <c:pt idx="5">
                  <c:v>547149.77785104909</c:v>
                </c:pt>
                <c:pt idx="6">
                  <c:v>591478.25377632212</c:v>
                </c:pt>
                <c:pt idx="7">
                  <c:v>697002.93365412217</c:v>
                </c:pt>
                <c:pt idx="8">
                  <c:v>544606.50842853426</c:v>
                </c:pt>
                <c:pt idx="9">
                  <c:v>668277.07437399612</c:v>
                </c:pt>
                <c:pt idx="10">
                  <c:v>949856.06144737278</c:v>
                </c:pt>
                <c:pt idx="11">
                  <c:v>1191070.4318553116</c:v>
                </c:pt>
                <c:pt idx="12">
                  <c:v>1672220.805426219</c:v>
                </c:pt>
                <c:pt idx="13">
                  <c:v>1153656.4456322417</c:v>
                </c:pt>
                <c:pt idx="14">
                  <c:v>306968.75891168532</c:v>
                </c:pt>
                <c:pt idx="15">
                  <c:v>298222.74291390966</c:v>
                </c:pt>
                <c:pt idx="16">
                  <c:v>657354.27293327183</c:v>
                </c:pt>
                <c:pt idx="17">
                  <c:v>415593.95497232792</c:v>
                </c:pt>
                <c:pt idx="18">
                  <c:v>769481.94848173263</c:v>
                </c:pt>
                <c:pt idx="19">
                  <c:v>718554.31799711823</c:v>
                </c:pt>
                <c:pt idx="20">
                  <c:v>689022.70185953437</c:v>
                </c:pt>
                <c:pt idx="21">
                  <c:v>685897.25595585944</c:v>
                </c:pt>
                <c:pt idx="22">
                  <c:v>1165403.9888221042</c:v>
                </c:pt>
                <c:pt idx="23">
                  <c:v>1191966.3138591847</c:v>
                </c:pt>
                <c:pt idx="24">
                  <c:v>1693885.0692799529</c:v>
                </c:pt>
                <c:pt idx="25">
                  <c:v>1938994.7885274212</c:v>
                </c:pt>
                <c:pt idx="26">
                  <c:v>2184104.5077748895</c:v>
                </c:pt>
                <c:pt idx="27">
                  <c:v>2429214.2270223578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5-48EE-B1FE-B9E103FD5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758992"/>
        <c:axId val="665759472"/>
      </c:lineChart>
      <c:dateAx>
        <c:axId val="6657589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759472"/>
        <c:crosses val="autoZero"/>
        <c:auto val="1"/>
        <c:lblOffset val="100"/>
        <c:baseTimeUnit val="months"/>
      </c:dateAx>
      <c:valAx>
        <c:axId val="66575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75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02537182852143"/>
          <c:y val="5.0925925925925923E-2"/>
          <c:w val="0.83953018372703414"/>
          <c:h val="0.7125772820064159"/>
        </c:manualLayout>
      </c:layout>
      <c:lineChart>
        <c:grouping val="standard"/>
        <c:varyColors val="0"/>
        <c:ser>
          <c:idx val="0"/>
          <c:order val="0"/>
          <c:tx>
            <c:strRef>
              <c:f>'Holt Winter'!$B$1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'Holt Winter'!$A$2:$A$37</c:f>
              <c:numCache>
                <c:formatCode>m/d/yyyy</c:formatCode>
                <c:ptCount val="36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</c:numCache>
            </c:numRef>
          </c:cat>
          <c:val>
            <c:numRef>
              <c:f>'Holt Winter'!$B$2:$B$37</c:f>
              <c:numCache>
                <c:formatCode>General</c:formatCode>
                <c:ptCount val="36"/>
                <c:pt idx="0">
                  <c:v>799847.11</c:v>
                </c:pt>
                <c:pt idx="1">
                  <c:v>624032.89</c:v>
                </c:pt>
                <c:pt idx="2">
                  <c:v>533091.43000000005</c:v>
                </c:pt>
                <c:pt idx="3">
                  <c:v>765848.76</c:v>
                </c:pt>
                <c:pt idx="4">
                  <c:v>590580.43000000005</c:v>
                </c:pt>
                <c:pt idx="5">
                  <c:v>615322.82999999996</c:v>
                </c:pt>
                <c:pt idx="6">
                  <c:v>679786.61</c:v>
                </c:pt>
                <c:pt idx="7">
                  <c:v>575236.36</c:v>
                </c:pt>
                <c:pt idx="8">
                  <c:v>656776.34</c:v>
                </c:pt>
                <c:pt idx="9">
                  <c:v>853650.43</c:v>
                </c:pt>
                <c:pt idx="10">
                  <c:v>1045168.35</c:v>
                </c:pt>
                <c:pt idx="11">
                  <c:v>1422654.64</c:v>
                </c:pt>
                <c:pt idx="12">
                  <c:v>1126445.47</c:v>
                </c:pt>
                <c:pt idx="13">
                  <c:v>560000.26</c:v>
                </c:pt>
                <c:pt idx="14">
                  <c:v>498062.65</c:v>
                </c:pt>
                <c:pt idx="15">
                  <c:v>683267.08</c:v>
                </c:pt>
                <c:pt idx="16">
                  <c:v>493207.12</c:v>
                </c:pt>
                <c:pt idx="17">
                  <c:v>723333.51</c:v>
                </c:pt>
                <c:pt idx="18">
                  <c:v>691123.12</c:v>
                </c:pt>
                <c:pt idx="19">
                  <c:v>681300.11</c:v>
                </c:pt>
                <c:pt idx="20">
                  <c:v>682680.51</c:v>
                </c:pt>
                <c:pt idx="21">
                  <c:v>1019687.62</c:v>
                </c:pt>
                <c:pt idx="22">
                  <c:v>1070704.67</c:v>
                </c:pt>
                <c:pt idx="23">
                  <c:v>1461756.25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3-4635-A930-6F7C4A319509}"/>
            </c:ext>
          </c:extLst>
        </c:ser>
        <c:ser>
          <c:idx val="1"/>
          <c:order val="1"/>
          <c:tx>
            <c:strRef>
              <c:f>'Holt Winter'!$F$1</c:f>
              <c:strCache>
                <c:ptCount val="1"/>
                <c:pt idx="0">
                  <c:v>FC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'Holt Winter'!$A$2:$A$37</c:f>
              <c:numCache>
                <c:formatCode>m/d/yyyy</c:formatCode>
                <c:ptCount val="36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</c:numCache>
            </c:numRef>
          </c:cat>
          <c:val>
            <c:numRef>
              <c:f>'Holt Winter'!$F$2:$F$37</c:f>
              <c:numCache>
                <c:formatCode>General</c:formatCode>
                <c:ptCount val="36"/>
                <c:pt idx="12">
                  <c:v>859161.39358106651</c:v>
                </c:pt>
                <c:pt idx="13">
                  <c:v>872985.05361632025</c:v>
                </c:pt>
                <c:pt idx="14">
                  <c:v>629301.7565295978</c:v>
                </c:pt>
                <c:pt idx="15">
                  <c:v>787406.48941145244</c:v>
                </c:pt>
                <c:pt idx="16">
                  <c:v>529709.05602498911</c:v>
                </c:pt>
                <c:pt idx="17">
                  <c:v>484471.18488467886</c:v>
                </c:pt>
                <c:pt idx="18">
                  <c:v>679654.73487290728</c:v>
                </c:pt>
                <c:pt idx="19">
                  <c:v>592968.06832675415</c:v>
                </c:pt>
                <c:pt idx="20">
                  <c:v>767493.8841876575</c:v>
                </c:pt>
                <c:pt idx="21">
                  <c:v>966928.64736097609</c:v>
                </c:pt>
                <c:pt idx="22">
                  <c:v>1262292.5138407766</c:v>
                </c:pt>
                <c:pt idx="23">
                  <c:v>1585406.3845666731</c:v>
                </c:pt>
                <c:pt idx="24">
                  <c:v>894254.01207316329</c:v>
                </c:pt>
                <c:pt idx="25">
                  <c:v>569287.13907496107</c:v>
                </c:pt>
                <c:pt idx="26">
                  <c:v>502411.62420681206</c:v>
                </c:pt>
                <c:pt idx="27">
                  <c:v>721949.89159724372</c:v>
                </c:pt>
                <c:pt idx="28">
                  <c:v>553282.87355606153</c:v>
                </c:pt>
                <c:pt idx="29">
                  <c:v>629139.80239407951</c:v>
                </c:pt>
                <c:pt idx="30">
                  <c:v>619168.75082867709</c:v>
                </c:pt>
                <c:pt idx="31">
                  <c:v>525906.64382845059</c:v>
                </c:pt>
                <c:pt idx="32">
                  <c:v>548439.98398155952</c:v>
                </c:pt>
                <c:pt idx="33">
                  <c:v>723809.02629253559</c:v>
                </c:pt>
                <c:pt idx="34">
                  <c:v>815204.47783480969</c:v>
                </c:pt>
                <c:pt idx="35">
                  <c:v>1101032.9489429859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3-4635-A930-6F7C4A319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822336"/>
        <c:axId val="1535579823"/>
      </c:lineChart>
      <c:dateAx>
        <c:axId val="1350822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79823"/>
        <c:crosses val="autoZero"/>
        <c:auto val="1"/>
        <c:lblOffset val="100"/>
        <c:baseTimeUnit val="months"/>
      </c:dateAx>
      <c:valAx>
        <c:axId val="153557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2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213360</xdr:colOff>
      <xdr:row>0</xdr:row>
      <xdr:rowOff>152400</xdr:rowOff>
    </xdr:from>
    <xdr:to>
      <xdr:col>22</xdr:col>
      <xdr:colOff>495300</xdr:colOff>
      <xdr:row>15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03D78-4552-0565-4260-FB68D9128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480060</xdr:colOff>
      <xdr:row>1</xdr:row>
      <xdr:rowOff>22860</xdr:rowOff>
    </xdr:from>
    <xdr:to>
      <xdr:col>21</xdr:col>
      <xdr:colOff>175260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04380-E957-FD3E-2277-FD770BA35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40</xdr:row>
      <xdr:rowOff>99060</xdr:rowOff>
    </xdr:from>
    <xdr:to>
      <xdr:col>12</xdr:col>
      <xdr:colOff>114300</xdr:colOff>
      <xdr:row>59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65935-6D75-B81B-8EE5-C7E44C7C3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121920</xdr:colOff>
      <xdr:row>3</xdr:row>
      <xdr:rowOff>64770</xdr:rowOff>
    </xdr:from>
    <xdr:to>
      <xdr:col>19</xdr:col>
      <xdr:colOff>579120</xdr:colOff>
      <xdr:row>18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B73F7-CD5D-CDD9-DA3E-C44974AAC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518160</xdr:colOff>
      <xdr:row>1</xdr:row>
      <xdr:rowOff>125730</xdr:rowOff>
    </xdr:from>
    <xdr:to>
      <xdr:col>17</xdr:col>
      <xdr:colOff>114300</xdr:colOff>
      <xdr:row>16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574982-D33E-6DE0-3537-99619CA17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0</xdr:row>
      <xdr:rowOff>95250</xdr:rowOff>
    </xdr:from>
    <xdr:to>
      <xdr:col>14</xdr:col>
      <xdr:colOff>487680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857C3-2B4D-DE3B-CFF5-057F8A09B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G13" sqref="G13"/>
    </sheetView>
  </sheetViews>
  <sheetFormatPr defaultRowHeight="14.4" x14ac:dyDescent="0.3"/>
  <cols>
    <col min="1" max="1" width="18.109375" bestFit="1" customWidth="1"/>
    <col min="2" max="2" width="1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40148</v>
      </c>
      <c r="B2">
        <v>799847.11</v>
      </c>
    </row>
    <row r="3" spans="1:2" x14ac:dyDescent="0.3">
      <c r="A3" s="2">
        <v>40179</v>
      </c>
      <c r="B3">
        <v>624032.89</v>
      </c>
    </row>
    <row r="4" spans="1:2" x14ac:dyDescent="0.3">
      <c r="A4" s="2">
        <v>40210</v>
      </c>
      <c r="B4">
        <v>533091.43000000005</v>
      </c>
    </row>
    <row r="5" spans="1:2" x14ac:dyDescent="0.3">
      <c r="A5" s="2">
        <v>40238</v>
      </c>
      <c r="B5">
        <v>765848.76</v>
      </c>
    </row>
    <row r="6" spans="1:2" x14ac:dyDescent="0.3">
      <c r="A6" s="2">
        <v>40269</v>
      </c>
      <c r="B6">
        <v>590580.43000000005</v>
      </c>
    </row>
    <row r="7" spans="1:2" x14ac:dyDescent="0.3">
      <c r="A7" s="2">
        <v>40299</v>
      </c>
      <c r="B7">
        <v>615322.82999999996</v>
      </c>
    </row>
    <row r="8" spans="1:2" x14ac:dyDescent="0.3">
      <c r="A8" s="2">
        <v>40330</v>
      </c>
      <c r="B8">
        <v>679786.61</v>
      </c>
    </row>
    <row r="9" spans="1:2" x14ac:dyDescent="0.3">
      <c r="A9" s="2">
        <v>40360</v>
      </c>
      <c r="B9">
        <v>575236.36</v>
      </c>
    </row>
    <row r="10" spans="1:2" x14ac:dyDescent="0.3">
      <c r="A10" s="2">
        <v>40391</v>
      </c>
      <c r="B10">
        <v>656776.34</v>
      </c>
    </row>
    <row r="11" spans="1:2" x14ac:dyDescent="0.3">
      <c r="A11" s="2">
        <v>40422</v>
      </c>
      <c r="B11">
        <v>853650.43</v>
      </c>
    </row>
    <row r="12" spans="1:2" x14ac:dyDescent="0.3">
      <c r="A12" s="2">
        <v>40452</v>
      </c>
      <c r="B12">
        <v>1045168.35</v>
      </c>
    </row>
    <row r="13" spans="1:2" x14ac:dyDescent="0.3">
      <c r="A13" s="2">
        <v>40483</v>
      </c>
      <c r="B13">
        <v>1422654.64</v>
      </c>
    </row>
    <row r="14" spans="1:2" x14ac:dyDescent="0.3">
      <c r="A14" s="2">
        <v>40513</v>
      </c>
      <c r="B14">
        <v>1126445.47</v>
      </c>
    </row>
    <row r="15" spans="1:2" x14ac:dyDescent="0.3">
      <c r="A15" s="2">
        <v>40544</v>
      </c>
      <c r="B15">
        <v>560000.26</v>
      </c>
    </row>
    <row r="16" spans="1:2" x14ac:dyDescent="0.3">
      <c r="A16" s="2">
        <v>40575</v>
      </c>
      <c r="B16">
        <v>498062.65</v>
      </c>
    </row>
    <row r="17" spans="1:2" x14ac:dyDescent="0.3">
      <c r="A17" s="2">
        <v>40603</v>
      </c>
      <c r="B17">
        <v>683267.08</v>
      </c>
    </row>
    <row r="18" spans="1:2" x14ac:dyDescent="0.3">
      <c r="A18" s="2">
        <v>40634</v>
      </c>
      <c r="B18">
        <v>493207.12</v>
      </c>
    </row>
    <row r="19" spans="1:2" x14ac:dyDescent="0.3">
      <c r="A19" s="2">
        <v>40664</v>
      </c>
      <c r="B19">
        <v>723333.51</v>
      </c>
    </row>
    <row r="20" spans="1:2" x14ac:dyDescent="0.3">
      <c r="A20" s="2">
        <v>40695</v>
      </c>
      <c r="B20">
        <v>691123.12</v>
      </c>
    </row>
    <row r="21" spans="1:2" x14ac:dyDescent="0.3">
      <c r="A21" s="2">
        <v>40725</v>
      </c>
      <c r="B21">
        <v>681300.11</v>
      </c>
    </row>
    <row r="22" spans="1:2" x14ac:dyDescent="0.3">
      <c r="A22" s="2">
        <v>40756</v>
      </c>
      <c r="B22">
        <v>682680.51</v>
      </c>
    </row>
    <row r="23" spans="1:2" x14ac:dyDescent="0.3">
      <c r="A23" s="2">
        <v>40787</v>
      </c>
      <c r="B23">
        <v>1019687.62</v>
      </c>
    </row>
    <row r="24" spans="1:2" x14ac:dyDescent="0.3">
      <c r="A24" s="2">
        <v>40817</v>
      </c>
      <c r="B24">
        <v>1070704.67</v>
      </c>
    </row>
    <row r="25" spans="1:2" x14ac:dyDescent="0.3">
      <c r="A25" s="2">
        <v>40848</v>
      </c>
      <c r="B25">
        <v>1461756.25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1659-278E-4971-8F50-2DFE5B08C89C}">
  <dimension ref="A1:P49"/>
  <sheetViews>
    <sheetView workbookViewId="0">
      <selection activeCell="F12" sqref="F12"/>
    </sheetView>
  </sheetViews>
  <sheetFormatPr defaultRowHeight="14.4" x14ac:dyDescent="0.3"/>
  <cols>
    <col min="1" max="1" width="11" style="3" bestFit="1" customWidth="1"/>
  </cols>
  <sheetData>
    <row r="1" spans="1:13" x14ac:dyDescent="0.3">
      <c r="A1" s="6" t="s">
        <v>0</v>
      </c>
      <c r="B1" s="7" t="s">
        <v>1</v>
      </c>
      <c r="C1" t="s">
        <v>47</v>
      </c>
      <c r="D1" t="s">
        <v>44</v>
      </c>
    </row>
    <row r="2" spans="1:13" x14ac:dyDescent="0.3">
      <c r="A2" s="6">
        <v>40148</v>
      </c>
      <c r="B2" s="8">
        <v>799847.11</v>
      </c>
      <c r="C2">
        <v>1</v>
      </c>
      <c r="D2">
        <f>$I$18+C2*$I$19</f>
        <v>629674.09203333326</v>
      </c>
      <c r="H2" t="s">
        <v>15</v>
      </c>
    </row>
    <row r="3" spans="1:13" ht="15" thickBot="1" x14ac:dyDescent="0.35">
      <c r="A3" s="6">
        <v>40179</v>
      </c>
      <c r="B3" s="8">
        <v>624032.89</v>
      </c>
      <c r="C3">
        <v>2</v>
      </c>
      <c r="D3">
        <f t="shared" ref="D3:D37" si="0">$I$18+C3*$I$19</f>
        <v>643229.83964637667</v>
      </c>
    </row>
    <row r="4" spans="1:13" x14ac:dyDescent="0.3">
      <c r="A4" s="6">
        <v>40210</v>
      </c>
      <c r="B4" s="8">
        <v>533091.43000000005</v>
      </c>
      <c r="C4">
        <v>3</v>
      </c>
      <c r="D4">
        <f t="shared" si="0"/>
        <v>656785.58725942019</v>
      </c>
      <c r="H4" s="12" t="s">
        <v>16</v>
      </c>
      <c r="I4" s="12"/>
    </row>
    <row r="5" spans="1:13" x14ac:dyDescent="0.3">
      <c r="A5" s="6">
        <v>40238</v>
      </c>
      <c r="B5" s="8">
        <v>765848.76</v>
      </c>
      <c r="C5">
        <v>4</v>
      </c>
      <c r="D5">
        <f t="shared" si="0"/>
        <v>670341.33487246372</v>
      </c>
      <c r="H5" s="9" t="s">
        <v>17</v>
      </c>
      <c r="I5" s="9">
        <v>0.35459787072329385</v>
      </c>
    </row>
    <row r="6" spans="1:13" x14ac:dyDescent="0.3">
      <c r="A6" s="6">
        <v>40269</v>
      </c>
      <c r="B6" s="8">
        <v>590580.43000000005</v>
      </c>
      <c r="C6">
        <v>5</v>
      </c>
      <c r="D6">
        <f t="shared" si="0"/>
        <v>683897.08248550713</v>
      </c>
      <c r="H6" s="9" t="s">
        <v>18</v>
      </c>
      <c r="I6" s="9">
        <v>0.12573964992149383</v>
      </c>
    </row>
    <row r="7" spans="1:13" x14ac:dyDescent="0.3">
      <c r="A7" s="6">
        <v>40299</v>
      </c>
      <c r="B7" s="8">
        <v>615322.82999999996</v>
      </c>
      <c r="C7">
        <v>6</v>
      </c>
      <c r="D7">
        <f t="shared" si="0"/>
        <v>697452.83009855065</v>
      </c>
      <c r="H7" s="9" t="s">
        <v>19</v>
      </c>
      <c r="I7" s="9">
        <v>8.6000543099743559E-2</v>
      </c>
    </row>
    <row r="8" spans="1:13" x14ac:dyDescent="0.3">
      <c r="A8" s="6">
        <v>40330</v>
      </c>
      <c r="B8" s="8">
        <v>679786.61</v>
      </c>
      <c r="C8">
        <v>7</v>
      </c>
      <c r="D8">
        <f t="shared" si="0"/>
        <v>711008.57771159406</v>
      </c>
      <c r="H8" s="9" t="s">
        <v>20</v>
      </c>
      <c r="I8" s="9">
        <v>258431.4247722711</v>
      </c>
    </row>
    <row r="9" spans="1:13" ht="15" thickBot="1" x14ac:dyDescent="0.35">
      <c r="A9" s="6">
        <v>40360</v>
      </c>
      <c r="B9" s="8">
        <v>575236.36</v>
      </c>
      <c r="C9">
        <v>8</v>
      </c>
      <c r="D9">
        <f t="shared" si="0"/>
        <v>724564.32532463758</v>
      </c>
      <c r="H9" s="10" t="s">
        <v>21</v>
      </c>
      <c r="I9" s="10">
        <v>24</v>
      </c>
    </row>
    <row r="10" spans="1:13" x14ac:dyDescent="0.3">
      <c r="A10" s="6">
        <v>40391</v>
      </c>
      <c r="B10" s="8">
        <v>656776.34</v>
      </c>
      <c r="C10">
        <v>9</v>
      </c>
      <c r="D10">
        <f t="shared" si="0"/>
        <v>738120.07293768111</v>
      </c>
    </row>
    <row r="11" spans="1:13" ht="15" thickBot="1" x14ac:dyDescent="0.35">
      <c r="A11" s="6">
        <v>40422</v>
      </c>
      <c r="B11" s="8">
        <v>853650.43</v>
      </c>
      <c r="C11">
        <v>10</v>
      </c>
      <c r="D11">
        <f t="shared" si="0"/>
        <v>751675.82055072451</v>
      </c>
      <c r="H11" t="s">
        <v>22</v>
      </c>
    </row>
    <row r="12" spans="1:13" x14ac:dyDescent="0.3">
      <c r="A12" s="6">
        <v>40452</v>
      </c>
      <c r="B12" s="8">
        <v>1045168.35</v>
      </c>
      <c r="C12">
        <v>11</v>
      </c>
      <c r="D12">
        <f t="shared" si="0"/>
        <v>765231.56816376804</v>
      </c>
      <c r="H12" s="11"/>
      <c r="I12" s="11" t="s">
        <v>27</v>
      </c>
      <c r="J12" s="11" t="s">
        <v>28</v>
      </c>
      <c r="K12" s="11" t="s">
        <v>29</v>
      </c>
      <c r="L12" s="11" t="s">
        <v>30</v>
      </c>
      <c r="M12" s="11" t="s">
        <v>31</v>
      </c>
    </row>
    <row r="13" spans="1:13" x14ac:dyDescent="0.3">
      <c r="A13" s="6">
        <v>40483</v>
      </c>
      <c r="B13" s="8">
        <v>1422654.64</v>
      </c>
      <c r="C13">
        <v>12</v>
      </c>
      <c r="D13">
        <f t="shared" si="0"/>
        <v>778787.31577681145</v>
      </c>
      <c r="H13" s="9" t="s">
        <v>23</v>
      </c>
      <c r="I13" s="9">
        <v>1</v>
      </c>
      <c r="J13" s="9">
        <v>211322037350.81372</v>
      </c>
      <c r="K13" s="9">
        <v>211322037350.81372</v>
      </c>
      <c r="L13" s="9">
        <v>3.1641287381092607</v>
      </c>
      <c r="M13" s="9">
        <v>8.9095610059596E-2</v>
      </c>
    </row>
    <row r="14" spans="1:13" x14ac:dyDescent="0.3">
      <c r="A14" s="6">
        <v>40513</v>
      </c>
      <c r="B14" s="8">
        <v>1126445.47</v>
      </c>
      <c r="C14">
        <v>13</v>
      </c>
      <c r="D14">
        <f t="shared" si="0"/>
        <v>792343.06338985497</v>
      </c>
      <c r="H14" s="9" t="s">
        <v>24</v>
      </c>
      <c r="I14" s="9">
        <v>22</v>
      </c>
      <c r="J14" s="9">
        <v>1469309628816.1724</v>
      </c>
      <c r="K14" s="9">
        <v>66786801309.826019</v>
      </c>
      <c r="L14" s="9"/>
      <c r="M14" s="9"/>
    </row>
    <row r="15" spans="1:13" ht="15" thickBot="1" x14ac:dyDescent="0.35">
      <c r="A15" s="6">
        <v>40544</v>
      </c>
      <c r="B15" s="8">
        <v>560000.26</v>
      </c>
      <c r="C15">
        <v>14</v>
      </c>
      <c r="D15">
        <f t="shared" si="0"/>
        <v>805898.8110028985</v>
      </c>
      <c r="H15" s="10" t="s">
        <v>25</v>
      </c>
      <c r="I15" s="10">
        <v>23</v>
      </c>
      <c r="J15" s="10">
        <v>1680631666166.9861</v>
      </c>
      <c r="K15" s="10"/>
      <c r="L15" s="10"/>
      <c r="M15" s="10"/>
    </row>
    <row r="16" spans="1:13" ht="15" thickBot="1" x14ac:dyDescent="0.35">
      <c r="A16" s="6">
        <v>40575</v>
      </c>
      <c r="B16" s="8">
        <v>498062.65</v>
      </c>
      <c r="C16">
        <v>15</v>
      </c>
      <c r="D16">
        <f t="shared" si="0"/>
        <v>819454.55861594202</v>
      </c>
    </row>
    <row r="17" spans="1:16" x14ac:dyDescent="0.3">
      <c r="A17" s="6">
        <v>40603</v>
      </c>
      <c r="B17" s="8">
        <v>683267.08</v>
      </c>
      <c r="C17">
        <v>16</v>
      </c>
      <c r="D17">
        <f t="shared" si="0"/>
        <v>833010.30622898543</v>
      </c>
      <c r="H17" s="11"/>
      <c r="I17" s="11" t="s">
        <v>32</v>
      </c>
      <c r="J17" s="11" t="s">
        <v>20</v>
      </c>
      <c r="K17" s="11" t="s">
        <v>33</v>
      </c>
      <c r="L17" s="11" t="s">
        <v>34</v>
      </c>
      <c r="M17" s="11" t="s">
        <v>35</v>
      </c>
      <c r="N17" s="11" t="s">
        <v>36</v>
      </c>
      <c r="O17" s="11" t="s">
        <v>37</v>
      </c>
      <c r="P17" s="11" t="s">
        <v>38</v>
      </c>
    </row>
    <row r="18" spans="1:16" x14ac:dyDescent="0.3">
      <c r="A18" s="6">
        <v>40634</v>
      </c>
      <c r="B18" s="8">
        <v>493207.12</v>
      </c>
      <c r="C18">
        <v>17</v>
      </c>
      <c r="D18">
        <f t="shared" si="0"/>
        <v>846566.05384202884</v>
      </c>
      <c r="H18" s="9" t="s">
        <v>26</v>
      </c>
      <c r="I18" s="9">
        <v>616118.34442028974</v>
      </c>
      <c r="J18" s="9">
        <v>108890.20637383225</v>
      </c>
      <c r="K18" s="9">
        <v>5.6581612335739964</v>
      </c>
      <c r="L18" s="9">
        <v>1.0881183594923638E-5</v>
      </c>
      <c r="M18" s="9">
        <v>390293.87806308776</v>
      </c>
      <c r="N18" s="9">
        <v>841942.81077749166</v>
      </c>
      <c r="O18" s="9">
        <v>390293.87806308776</v>
      </c>
      <c r="P18" s="9">
        <v>841942.81077749166</v>
      </c>
    </row>
    <row r="19" spans="1:16" ht="15" thickBot="1" x14ac:dyDescent="0.35">
      <c r="A19" s="6">
        <v>40664</v>
      </c>
      <c r="B19" s="8">
        <v>723333.51</v>
      </c>
      <c r="C19">
        <v>18</v>
      </c>
      <c r="D19">
        <f t="shared" si="0"/>
        <v>860121.80145507236</v>
      </c>
      <c r="H19" s="10" t="s">
        <v>47</v>
      </c>
      <c r="I19" s="10">
        <v>13555.747613043481</v>
      </c>
      <c r="J19" s="10">
        <v>7620.7269600641575</v>
      </c>
      <c r="K19" s="10">
        <v>1.7787998027066643</v>
      </c>
      <c r="L19" s="10">
        <v>8.9095610059595473E-2</v>
      </c>
      <c r="M19" s="10">
        <v>-2248.6727872836946</v>
      </c>
      <c r="N19" s="10">
        <v>29360.168013370654</v>
      </c>
      <c r="O19" s="10">
        <v>-2248.6727872836946</v>
      </c>
      <c r="P19" s="10">
        <v>29360.168013370654</v>
      </c>
    </row>
    <row r="20" spans="1:16" x14ac:dyDescent="0.3">
      <c r="A20" s="6">
        <v>40695</v>
      </c>
      <c r="B20" s="8">
        <v>691123.12</v>
      </c>
      <c r="C20">
        <v>19</v>
      </c>
      <c r="D20">
        <f t="shared" si="0"/>
        <v>873677.54906811588</v>
      </c>
    </row>
    <row r="21" spans="1:16" x14ac:dyDescent="0.3">
      <c r="A21" s="6">
        <v>40725</v>
      </c>
      <c r="B21" s="8">
        <v>681300.11</v>
      </c>
      <c r="C21">
        <v>20</v>
      </c>
      <c r="D21">
        <f t="shared" si="0"/>
        <v>887233.29668115941</v>
      </c>
    </row>
    <row r="22" spans="1:16" x14ac:dyDescent="0.3">
      <c r="A22" s="6">
        <v>40756</v>
      </c>
      <c r="B22" s="8">
        <v>682680.51</v>
      </c>
      <c r="C22">
        <v>21</v>
      </c>
      <c r="D22">
        <f t="shared" si="0"/>
        <v>900789.04429420282</v>
      </c>
    </row>
    <row r="23" spans="1:16" x14ac:dyDescent="0.3">
      <c r="A23" s="6">
        <v>40787</v>
      </c>
      <c r="B23" s="8">
        <v>1019687.62</v>
      </c>
      <c r="C23">
        <v>22</v>
      </c>
      <c r="D23">
        <f t="shared" si="0"/>
        <v>914344.79190724634</v>
      </c>
      <c r="H23" t="s">
        <v>39</v>
      </c>
    </row>
    <row r="24" spans="1:16" ht="15" thickBot="1" x14ac:dyDescent="0.35">
      <c r="A24" s="6">
        <v>40817</v>
      </c>
      <c r="B24" s="8">
        <v>1070704.67</v>
      </c>
      <c r="C24">
        <v>23</v>
      </c>
      <c r="D24">
        <f t="shared" si="0"/>
        <v>927900.53952028975</v>
      </c>
    </row>
    <row r="25" spans="1:16" x14ac:dyDescent="0.3">
      <c r="A25" s="6">
        <v>40848</v>
      </c>
      <c r="B25" s="8">
        <v>1461756.25</v>
      </c>
      <c r="C25">
        <v>24</v>
      </c>
      <c r="D25">
        <f t="shared" si="0"/>
        <v>941456.28713333327</v>
      </c>
      <c r="H25" s="11" t="s">
        <v>40</v>
      </c>
      <c r="I25" s="11" t="s">
        <v>41</v>
      </c>
      <c r="J25" s="11" t="s">
        <v>42</v>
      </c>
      <c r="K25" s="11" t="s">
        <v>43</v>
      </c>
    </row>
    <row r="26" spans="1:16" x14ac:dyDescent="0.3">
      <c r="A26" s="6">
        <v>40878</v>
      </c>
      <c r="C26">
        <v>25</v>
      </c>
      <c r="D26">
        <f t="shared" si="0"/>
        <v>955012.0347463768</v>
      </c>
      <c r="H26" s="9">
        <v>1</v>
      </c>
      <c r="I26" s="9">
        <v>629674.09203333326</v>
      </c>
      <c r="J26" s="9">
        <v>170173.01796666672</v>
      </c>
      <c r="K26" s="9">
        <v>0.67328347711270908</v>
      </c>
    </row>
    <row r="27" spans="1:16" x14ac:dyDescent="0.3">
      <c r="A27" s="6">
        <v>40909</v>
      </c>
      <c r="C27">
        <v>26</v>
      </c>
      <c r="D27">
        <f t="shared" si="0"/>
        <v>968567.78235942021</v>
      </c>
      <c r="H27" s="9">
        <v>2</v>
      </c>
      <c r="I27" s="9">
        <v>643229.83964637667</v>
      </c>
      <c r="J27" s="9">
        <v>-19196.949646376655</v>
      </c>
      <c r="K27" s="9">
        <v>-7.5952046701092152E-2</v>
      </c>
    </row>
    <row r="28" spans="1:16" x14ac:dyDescent="0.3">
      <c r="A28" s="6">
        <v>40940</v>
      </c>
      <c r="C28">
        <v>27</v>
      </c>
      <c r="D28">
        <f t="shared" si="0"/>
        <v>982123.52997246373</v>
      </c>
      <c r="H28" s="9">
        <v>3</v>
      </c>
      <c r="I28" s="9">
        <v>656785.58725942019</v>
      </c>
      <c r="J28" s="9">
        <v>-123694.15725942014</v>
      </c>
      <c r="K28" s="9">
        <v>-0.48939152218868009</v>
      </c>
    </row>
    <row r="29" spans="1:16" x14ac:dyDescent="0.3">
      <c r="A29" s="6">
        <v>40969</v>
      </c>
      <c r="C29">
        <v>28</v>
      </c>
      <c r="D29">
        <f t="shared" si="0"/>
        <v>995679.27758550714</v>
      </c>
      <c r="H29" s="9">
        <v>4</v>
      </c>
      <c r="I29" s="9">
        <v>670341.33487246372</v>
      </c>
      <c r="J29" s="9">
        <v>95507.425127536291</v>
      </c>
      <c r="K29" s="9">
        <v>0.37787172166474153</v>
      </c>
    </row>
    <row r="30" spans="1:16" x14ac:dyDescent="0.3">
      <c r="A30" s="6">
        <v>41000</v>
      </c>
      <c r="C30">
        <v>29</v>
      </c>
      <c r="D30">
        <f t="shared" si="0"/>
        <v>1009235.0251985507</v>
      </c>
      <c r="H30" s="9">
        <v>5</v>
      </c>
      <c r="I30" s="9">
        <v>683897.08248550713</v>
      </c>
      <c r="J30" s="9">
        <v>-93316.652485507075</v>
      </c>
      <c r="K30" s="9">
        <v>-0.36920400783082608</v>
      </c>
    </row>
    <row r="31" spans="1:16" x14ac:dyDescent="0.3">
      <c r="A31" s="6">
        <v>41030</v>
      </c>
      <c r="C31">
        <v>30</v>
      </c>
      <c r="D31">
        <f t="shared" si="0"/>
        <v>1022790.7728115942</v>
      </c>
      <c r="H31" s="9">
        <v>6</v>
      </c>
      <c r="I31" s="9">
        <v>697452.83009855065</v>
      </c>
      <c r="J31" s="9">
        <v>-82130.000098550692</v>
      </c>
      <c r="K31" s="9">
        <v>-0.32494441658460105</v>
      </c>
    </row>
    <row r="32" spans="1:16" x14ac:dyDescent="0.3">
      <c r="A32" s="6">
        <v>41061</v>
      </c>
      <c r="C32">
        <v>31</v>
      </c>
      <c r="D32">
        <f t="shared" si="0"/>
        <v>1036346.5204246377</v>
      </c>
      <c r="H32" s="9">
        <v>7</v>
      </c>
      <c r="I32" s="9">
        <v>711008.57771159406</v>
      </c>
      <c r="J32" s="9">
        <v>-31221.967711594072</v>
      </c>
      <c r="K32" s="9">
        <v>-0.12352860185673149</v>
      </c>
    </row>
    <row r="33" spans="1:11" x14ac:dyDescent="0.3">
      <c r="A33" s="6">
        <v>41091</v>
      </c>
      <c r="C33">
        <v>32</v>
      </c>
      <c r="D33">
        <f t="shared" si="0"/>
        <v>1049902.268037681</v>
      </c>
      <c r="H33" s="9">
        <v>8</v>
      </c>
      <c r="I33" s="9">
        <v>724564.32532463758</v>
      </c>
      <c r="J33" s="9">
        <v>-149327.9653246376</v>
      </c>
      <c r="K33" s="9">
        <v>-0.59081076968166424</v>
      </c>
    </row>
    <row r="34" spans="1:11" x14ac:dyDescent="0.3">
      <c r="A34" s="6">
        <v>41122</v>
      </c>
      <c r="C34">
        <v>33</v>
      </c>
      <c r="D34">
        <f t="shared" si="0"/>
        <v>1063458.0156507245</v>
      </c>
      <c r="H34" s="9">
        <v>9</v>
      </c>
      <c r="I34" s="9">
        <v>738120.07293768111</v>
      </c>
      <c r="J34" s="9">
        <v>-81343.732937681139</v>
      </c>
      <c r="K34" s="9">
        <v>-0.32183357860138156</v>
      </c>
    </row>
    <row r="35" spans="1:11" x14ac:dyDescent="0.3">
      <c r="A35" s="6">
        <v>41153</v>
      </c>
      <c r="C35">
        <v>34</v>
      </c>
      <c r="D35">
        <f t="shared" si="0"/>
        <v>1077013.7632637681</v>
      </c>
      <c r="H35" s="9">
        <v>10</v>
      </c>
      <c r="I35" s="9">
        <v>751675.82055072451</v>
      </c>
      <c r="J35" s="9">
        <v>101974.60944927554</v>
      </c>
      <c r="K35" s="9">
        <v>0.40345890581001131</v>
      </c>
    </row>
    <row r="36" spans="1:11" x14ac:dyDescent="0.3">
      <c r="A36" s="6">
        <v>41183</v>
      </c>
      <c r="C36">
        <v>35</v>
      </c>
      <c r="D36">
        <f t="shared" si="0"/>
        <v>1090569.5108768116</v>
      </c>
      <c r="H36" s="9">
        <v>11</v>
      </c>
      <c r="I36" s="9">
        <v>765231.56816376804</v>
      </c>
      <c r="J36" s="9">
        <v>279936.78183623194</v>
      </c>
      <c r="K36" s="9">
        <v>1.1075598946206542</v>
      </c>
    </row>
    <row r="37" spans="1:11" x14ac:dyDescent="0.3">
      <c r="A37" s="6">
        <v>41214</v>
      </c>
      <c r="C37">
        <v>36</v>
      </c>
      <c r="D37">
        <f t="shared" si="0"/>
        <v>1104125.2584898551</v>
      </c>
      <c r="H37" s="9">
        <v>12</v>
      </c>
      <c r="I37" s="9">
        <v>778787.31577681145</v>
      </c>
      <c r="J37" s="9">
        <v>643867.32422318845</v>
      </c>
      <c r="K37" s="9">
        <v>2.547438107592114</v>
      </c>
    </row>
    <row r="38" spans="1:11" x14ac:dyDescent="0.3">
      <c r="H38" s="9">
        <v>13</v>
      </c>
      <c r="I38" s="9">
        <v>792343.06338985497</v>
      </c>
      <c r="J38" s="9">
        <v>334102.406610145</v>
      </c>
      <c r="K38" s="9">
        <v>1.3218642574598085</v>
      </c>
    </row>
    <row r="39" spans="1:11" x14ac:dyDescent="0.3">
      <c r="H39" s="9">
        <v>14</v>
      </c>
      <c r="I39" s="9">
        <v>805898.8110028985</v>
      </c>
      <c r="J39" s="9">
        <v>-245898.55100289849</v>
      </c>
      <c r="K39" s="9">
        <v>-0.97288884815240151</v>
      </c>
    </row>
    <row r="40" spans="1:11" x14ac:dyDescent="0.3">
      <c r="H40" s="9">
        <v>15</v>
      </c>
      <c r="I40" s="9">
        <v>819454.55861594202</v>
      </c>
      <c r="J40" s="9">
        <v>-321391.908615942</v>
      </c>
      <c r="K40" s="9">
        <v>-1.2715756254097652</v>
      </c>
    </row>
    <row r="41" spans="1:11" x14ac:dyDescent="0.3">
      <c r="H41" s="9">
        <v>16</v>
      </c>
      <c r="I41" s="9">
        <v>833010.30622898543</v>
      </c>
      <c r="J41" s="9">
        <v>-149743.22622898547</v>
      </c>
      <c r="K41" s="9">
        <v>-0.59245373464126239</v>
      </c>
    </row>
    <row r="42" spans="1:11" x14ac:dyDescent="0.3">
      <c r="H42" s="9">
        <v>17</v>
      </c>
      <c r="I42" s="9">
        <v>846566.05384202884</v>
      </c>
      <c r="J42" s="9">
        <v>-353358.93384202884</v>
      </c>
      <c r="K42" s="9">
        <v>-1.3980520207533873</v>
      </c>
    </row>
    <row r="43" spans="1:11" x14ac:dyDescent="0.3">
      <c r="H43" s="9">
        <v>18</v>
      </c>
      <c r="I43" s="9">
        <v>860121.80145507236</v>
      </c>
      <c r="J43" s="9">
        <v>-136788.29145507235</v>
      </c>
      <c r="K43" s="9">
        <v>-0.54119799718905892</v>
      </c>
    </row>
    <row r="44" spans="1:11" x14ac:dyDescent="0.3">
      <c r="H44" s="9">
        <v>19</v>
      </c>
      <c r="I44" s="9">
        <v>873677.54906811588</v>
      </c>
      <c r="J44" s="9">
        <v>-182554.42906811589</v>
      </c>
      <c r="K44" s="9">
        <v>-0.72227008860700881</v>
      </c>
    </row>
    <row r="45" spans="1:11" x14ac:dyDescent="0.3">
      <c r="H45" s="9">
        <v>20</v>
      </c>
      <c r="I45" s="9">
        <v>887233.29668115941</v>
      </c>
      <c r="J45" s="9">
        <v>-205933.18668115942</v>
      </c>
      <c r="K45" s="9">
        <v>-0.81476730940242537</v>
      </c>
    </row>
    <row r="46" spans="1:11" x14ac:dyDescent="0.3">
      <c r="H46" s="9">
        <v>21</v>
      </c>
      <c r="I46" s="9">
        <v>900789.04429420282</v>
      </c>
      <c r="J46" s="9">
        <v>-218108.53429420281</v>
      </c>
      <c r="K46" s="9">
        <v>-0.86293863805319582</v>
      </c>
    </row>
    <row r="47" spans="1:11" x14ac:dyDescent="0.3">
      <c r="H47" s="9">
        <v>22</v>
      </c>
      <c r="I47" s="9">
        <v>914344.79190724634</v>
      </c>
      <c r="J47" s="9">
        <v>105342.82809275365</v>
      </c>
      <c r="K47" s="9">
        <v>0.41678514276022516</v>
      </c>
    </row>
    <row r="48" spans="1:11" x14ac:dyDescent="0.3">
      <c r="H48" s="9">
        <v>23</v>
      </c>
      <c r="I48" s="9">
        <v>927900.53952028975</v>
      </c>
      <c r="J48" s="9">
        <v>142804.13047971018</v>
      </c>
      <c r="K48" s="9">
        <v>0.56499944976159233</v>
      </c>
    </row>
    <row r="49" spans="8:11" ht="15" thickBot="1" x14ac:dyDescent="0.35">
      <c r="H49" s="10">
        <v>24</v>
      </c>
      <c r="I49" s="10">
        <v>941456.28713333327</v>
      </c>
      <c r="J49" s="10">
        <v>520299.96286666673</v>
      </c>
      <c r="K49" s="10">
        <v>2.0585482488716331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1D01-F8D3-4834-8AD9-42058971F1C3}">
  <dimension ref="A1:P50"/>
  <sheetViews>
    <sheetView workbookViewId="0">
      <selection activeCell="N25" sqref="N25"/>
    </sheetView>
  </sheetViews>
  <sheetFormatPr defaultRowHeight="14.4" x14ac:dyDescent="0.3"/>
  <cols>
    <col min="1" max="1" width="10.77734375" bestFit="1" customWidth="1"/>
  </cols>
  <sheetData>
    <row r="1" spans="1:13" x14ac:dyDescent="0.3">
      <c r="A1" s="6" t="s">
        <v>0</v>
      </c>
      <c r="B1" s="7" t="s">
        <v>1</v>
      </c>
      <c r="C1" t="s">
        <v>47</v>
      </c>
      <c r="D1" t="s">
        <v>48</v>
      </c>
      <c r="E1" t="s">
        <v>44</v>
      </c>
    </row>
    <row r="2" spans="1:13" x14ac:dyDescent="0.3">
      <c r="A2" s="6">
        <v>40148</v>
      </c>
      <c r="B2" s="8">
        <v>799847.11</v>
      </c>
      <c r="C2">
        <v>1</v>
      </c>
      <c r="D2">
        <v>1</v>
      </c>
      <c r="E2">
        <f>$I$18+C2*$I$19+D2*$I$20</f>
        <v>720578.07329615357</v>
      </c>
      <c r="H2" t="s">
        <v>15</v>
      </c>
    </row>
    <row r="3" spans="1:13" ht="15" thickBot="1" x14ac:dyDescent="0.35">
      <c r="A3" s="6">
        <v>40179</v>
      </c>
      <c r="B3" s="8">
        <v>624032.89</v>
      </c>
      <c r="C3">
        <v>2</v>
      </c>
      <c r="D3">
        <v>4</v>
      </c>
      <c r="E3">
        <f t="shared" ref="E3:E37" si="0">$I$18+C3*$I$19+D3*$I$20</f>
        <v>710419.73884063528</v>
      </c>
    </row>
    <row r="4" spans="1:13" x14ac:dyDescent="0.3">
      <c r="A4" s="6">
        <v>40210</v>
      </c>
      <c r="B4" s="8">
        <v>533091.43000000005</v>
      </c>
      <c r="C4">
        <v>3</v>
      </c>
      <c r="D4">
        <v>9</v>
      </c>
      <c r="E4">
        <f t="shared" si="0"/>
        <v>702417.23002771346</v>
      </c>
      <c r="H4" s="12" t="s">
        <v>16</v>
      </c>
      <c r="I4" s="12"/>
    </row>
    <row r="5" spans="1:13" x14ac:dyDescent="0.3">
      <c r="A5" s="6">
        <v>40238</v>
      </c>
      <c r="B5" s="8">
        <v>765848.76</v>
      </c>
      <c r="C5">
        <v>4</v>
      </c>
      <c r="D5">
        <v>16</v>
      </c>
      <c r="E5">
        <f t="shared" si="0"/>
        <v>696570.54685738811</v>
      </c>
      <c r="H5" s="9" t="s">
        <v>17</v>
      </c>
      <c r="I5" s="9">
        <v>0.39504104363911841</v>
      </c>
    </row>
    <row r="6" spans="1:13" x14ac:dyDescent="0.3">
      <c r="A6" s="6">
        <v>40269</v>
      </c>
      <c r="B6" s="8">
        <v>590580.43000000005</v>
      </c>
      <c r="C6">
        <v>5</v>
      </c>
      <c r="D6">
        <v>25</v>
      </c>
      <c r="E6">
        <f t="shared" si="0"/>
        <v>692879.68932965922</v>
      </c>
      <c r="H6" s="9" t="s">
        <v>18</v>
      </c>
      <c r="I6" s="9">
        <v>0.15605742615948387</v>
      </c>
    </row>
    <row r="7" spans="1:13" x14ac:dyDescent="0.3">
      <c r="A7" s="6">
        <v>40299</v>
      </c>
      <c r="B7" s="8">
        <v>615322.82999999996</v>
      </c>
      <c r="C7">
        <v>6</v>
      </c>
      <c r="D7">
        <v>36</v>
      </c>
      <c r="E7">
        <f t="shared" si="0"/>
        <v>691344.65744452702</v>
      </c>
      <c r="H7" s="9" t="s">
        <v>19</v>
      </c>
      <c r="I7" s="9">
        <v>7.5681942936577568E-2</v>
      </c>
    </row>
    <row r="8" spans="1:13" x14ac:dyDescent="0.3">
      <c r="A8" s="6">
        <v>40330</v>
      </c>
      <c r="B8" s="8">
        <v>679786.61</v>
      </c>
      <c r="C8">
        <v>7</v>
      </c>
      <c r="D8">
        <v>49</v>
      </c>
      <c r="E8">
        <f t="shared" si="0"/>
        <v>691965.45120199141</v>
      </c>
      <c r="H8" s="9" t="s">
        <v>20</v>
      </c>
      <c r="I8" s="9">
        <v>259886.11187199832</v>
      </c>
    </row>
    <row r="9" spans="1:13" ht="15" thickBot="1" x14ac:dyDescent="0.35">
      <c r="A9" s="6">
        <v>40360</v>
      </c>
      <c r="B9" s="8">
        <v>575236.36</v>
      </c>
      <c r="C9">
        <v>8</v>
      </c>
      <c r="D9">
        <v>64</v>
      </c>
      <c r="E9">
        <f t="shared" si="0"/>
        <v>694742.07060205215</v>
      </c>
      <c r="H9" s="10" t="s">
        <v>21</v>
      </c>
      <c r="I9" s="10">
        <v>24</v>
      </c>
    </row>
    <row r="10" spans="1:13" x14ac:dyDescent="0.3">
      <c r="A10" s="6">
        <v>40391</v>
      </c>
      <c r="B10" s="8">
        <v>656776.34</v>
      </c>
      <c r="C10">
        <v>9</v>
      </c>
      <c r="D10">
        <v>81</v>
      </c>
      <c r="E10">
        <f t="shared" si="0"/>
        <v>699674.51564470946</v>
      </c>
    </row>
    <row r="11" spans="1:13" ht="15" thickBot="1" x14ac:dyDescent="0.35">
      <c r="A11" s="6">
        <v>40422</v>
      </c>
      <c r="B11" s="8">
        <v>853650.43</v>
      </c>
      <c r="C11">
        <v>10</v>
      </c>
      <c r="D11">
        <v>100</v>
      </c>
      <c r="E11">
        <f t="shared" si="0"/>
        <v>706762.78632996348</v>
      </c>
      <c r="H11" t="s">
        <v>22</v>
      </c>
    </row>
    <row r="12" spans="1:13" x14ac:dyDescent="0.3">
      <c r="A12" s="6">
        <v>40452</v>
      </c>
      <c r="B12" s="8">
        <v>1045168.35</v>
      </c>
      <c r="C12">
        <v>11</v>
      </c>
      <c r="D12">
        <v>121</v>
      </c>
      <c r="E12">
        <f t="shared" si="0"/>
        <v>716006.88265781384</v>
      </c>
      <c r="H12" s="11"/>
      <c r="I12" s="11" t="s">
        <v>27</v>
      </c>
      <c r="J12" s="11" t="s">
        <v>28</v>
      </c>
      <c r="K12" s="11" t="s">
        <v>29</v>
      </c>
      <c r="L12" s="11" t="s">
        <v>30</v>
      </c>
      <c r="M12" s="11" t="s">
        <v>31</v>
      </c>
    </row>
    <row r="13" spans="1:13" x14ac:dyDescent="0.3">
      <c r="A13" s="6">
        <v>40483</v>
      </c>
      <c r="B13" s="8">
        <v>1422654.64</v>
      </c>
      <c r="C13">
        <v>12</v>
      </c>
      <c r="D13">
        <v>144</v>
      </c>
      <c r="E13">
        <f t="shared" si="0"/>
        <v>727406.80462826078</v>
      </c>
      <c r="H13" s="9" t="s">
        <v>23</v>
      </c>
      <c r="I13" s="9">
        <v>2</v>
      </c>
      <c r="J13" s="9">
        <v>262275052144.14478</v>
      </c>
      <c r="K13" s="9">
        <v>131137526072.07239</v>
      </c>
      <c r="L13" s="9">
        <v>1.9416048265201458</v>
      </c>
      <c r="M13" s="9">
        <v>0.16837802386044715</v>
      </c>
    </row>
    <row r="14" spans="1:13" x14ac:dyDescent="0.3">
      <c r="A14" s="6">
        <v>40513</v>
      </c>
      <c r="B14" s="8">
        <v>1126445.47</v>
      </c>
      <c r="C14">
        <v>13</v>
      </c>
      <c r="D14">
        <v>169</v>
      </c>
      <c r="E14">
        <f t="shared" si="0"/>
        <v>740962.55224130419</v>
      </c>
      <c r="H14" s="9" t="s">
        <v>24</v>
      </c>
      <c r="I14" s="9">
        <v>21</v>
      </c>
      <c r="J14" s="9">
        <v>1418356614022.8413</v>
      </c>
      <c r="K14" s="9">
        <v>67540791143.944824</v>
      </c>
      <c r="L14" s="9"/>
      <c r="M14" s="9"/>
    </row>
    <row r="15" spans="1:13" ht="15" thickBot="1" x14ac:dyDescent="0.35">
      <c r="A15" s="6">
        <v>40544</v>
      </c>
      <c r="B15" s="8">
        <v>560000.26</v>
      </c>
      <c r="C15">
        <v>14</v>
      </c>
      <c r="D15">
        <v>196</v>
      </c>
      <c r="E15">
        <f t="shared" si="0"/>
        <v>756674.12549694418</v>
      </c>
      <c r="H15" s="10" t="s">
        <v>25</v>
      </c>
      <c r="I15" s="10">
        <v>23</v>
      </c>
      <c r="J15" s="10">
        <v>1680631666166.9861</v>
      </c>
      <c r="K15" s="10"/>
      <c r="L15" s="10"/>
      <c r="M15" s="10"/>
    </row>
    <row r="16" spans="1:13" ht="15" thickBot="1" x14ac:dyDescent="0.35">
      <c r="A16" s="6">
        <v>40575</v>
      </c>
      <c r="B16" s="8">
        <v>498062.65</v>
      </c>
      <c r="C16">
        <v>15</v>
      </c>
      <c r="D16">
        <v>225</v>
      </c>
      <c r="E16">
        <f t="shared" si="0"/>
        <v>774541.52439518087</v>
      </c>
    </row>
    <row r="17" spans="1:16" x14ac:dyDescent="0.3">
      <c r="A17" s="6">
        <v>40603</v>
      </c>
      <c r="B17" s="8">
        <v>683267.08</v>
      </c>
      <c r="C17">
        <v>16</v>
      </c>
      <c r="D17">
        <v>256</v>
      </c>
      <c r="E17">
        <f t="shared" si="0"/>
        <v>794564.7489360139</v>
      </c>
      <c r="H17" s="11"/>
      <c r="I17" s="11" t="s">
        <v>32</v>
      </c>
      <c r="J17" s="11" t="s">
        <v>20</v>
      </c>
      <c r="K17" s="11" t="s">
        <v>33</v>
      </c>
      <c r="L17" s="11" t="s">
        <v>34</v>
      </c>
      <c r="M17" s="11" t="s">
        <v>35</v>
      </c>
      <c r="N17" s="11" t="s">
        <v>36</v>
      </c>
      <c r="O17" s="11" t="s">
        <v>37</v>
      </c>
      <c r="P17" s="11" t="s">
        <v>38</v>
      </c>
    </row>
    <row r="18" spans="1:16" x14ac:dyDescent="0.3">
      <c r="A18" s="6">
        <v>40634</v>
      </c>
      <c r="B18" s="8">
        <v>493207.12</v>
      </c>
      <c r="C18">
        <v>17</v>
      </c>
      <c r="D18">
        <v>289</v>
      </c>
      <c r="E18">
        <f t="shared" si="0"/>
        <v>816743.79911944352</v>
      </c>
      <c r="H18" s="9" t="s">
        <v>26</v>
      </c>
      <c r="I18" s="9">
        <v>732892.23339426855</v>
      </c>
      <c r="J18" s="9">
        <v>173396.4545341311</v>
      </c>
      <c r="K18" s="9">
        <v>4.2266852304641969</v>
      </c>
      <c r="L18" s="9">
        <v>3.7786413277863943E-4</v>
      </c>
      <c r="M18" s="9">
        <v>372294.56591839582</v>
      </c>
      <c r="N18" s="9">
        <v>1093489.9008701413</v>
      </c>
      <c r="O18" s="9">
        <v>372294.56591839582</v>
      </c>
      <c r="P18" s="9">
        <v>1093489.9008701413</v>
      </c>
    </row>
    <row r="19" spans="1:16" x14ac:dyDescent="0.3">
      <c r="A19" s="6">
        <v>40664</v>
      </c>
      <c r="B19" s="8">
        <v>723333.51</v>
      </c>
      <c r="C19">
        <v>18</v>
      </c>
      <c r="D19">
        <v>324</v>
      </c>
      <c r="E19">
        <f t="shared" si="0"/>
        <v>841078.67494546971</v>
      </c>
      <c r="H19" s="9" t="s">
        <v>47</v>
      </c>
      <c r="I19" s="9">
        <v>-13392.072919413185</v>
      </c>
      <c r="J19" s="9">
        <v>31958.191597755827</v>
      </c>
      <c r="K19" s="9">
        <v>-0.41904977252697884</v>
      </c>
      <c r="L19" s="9">
        <v>0.6794349988389321</v>
      </c>
      <c r="M19" s="9">
        <v>-79852.770618566021</v>
      </c>
      <c r="N19" s="9">
        <v>53068.62477973965</v>
      </c>
      <c r="O19" s="9">
        <v>-79852.770618566021</v>
      </c>
      <c r="P19" s="9">
        <v>53068.62477973965</v>
      </c>
    </row>
    <row r="20" spans="1:16" ht="15" thickBot="1" x14ac:dyDescent="0.35">
      <c r="A20" s="6">
        <v>40695</v>
      </c>
      <c r="B20" s="8">
        <v>691123.12</v>
      </c>
      <c r="C20">
        <v>19</v>
      </c>
      <c r="D20">
        <v>361</v>
      </c>
      <c r="E20">
        <f t="shared" si="0"/>
        <v>867569.37641409237</v>
      </c>
      <c r="H20" s="10" t="s">
        <v>48</v>
      </c>
      <c r="I20" s="10">
        <v>1077.9128212982669</v>
      </c>
      <c r="J20" s="10">
        <v>1241.0285330901991</v>
      </c>
      <c r="K20" s="10">
        <v>0.8685640922487341</v>
      </c>
      <c r="L20" s="10">
        <v>0.39490388631997597</v>
      </c>
      <c r="M20" s="10">
        <v>-1502.9472978181948</v>
      </c>
      <c r="N20" s="10">
        <v>3658.7729404147285</v>
      </c>
      <c r="O20" s="10">
        <v>-1502.9472978181948</v>
      </c>
      <c r="P20" s="10">
        <v>3658.7729404147285</v>
      </c>
    </row>
    <row r="21" spans="1:16" x14ac:dyDescent="0.3">
      <c r="A21" s="6">
        <v>40725</v>
      </c>
      <c r="B21" s="8">
        <v>681300.11</v>
      </c>
      <c r="C21">
        <v>20</v>
      </c>
      <c r="D21">
        <v>400</v>
      </c>
      <c r="E21">
        <f t="shared" si="0"/>
        <v>896215.90352531162</v>
      </c>
    </row>
    <row r="22" spans="1:16" x14ac:dyDescent="0.3">
      <c r="A22" s="6">
        <v>40756</v>
      </c>
      <c r="B22" s="8">
        <v>682680.51</v>
      </c>
      <c r="C22">
        <v>21</v>
      </c>
      <c r="D22">
        <v>441</v>
      </c>
      <c r="E22">
        <f t="shared" si="0"/>
        <v>927018.25627912732</v>
      </c>
    </row>
    <row r="23" spans="1:16" x14ac:dyDescent="0.3">
      <c r="A23" s="6">
        <v>40787</v>
      </c>
      <c r="B23" s="8">
        <v>1019687.62</v>
      </c>
      <c r="C23">
        <v>22</v>
      </c>
      <c r="D23">
        <v>484</v>
      </c>
      <c r="E23">
        <f t="shared" si="0"/>
        <v>959976.43467553961</v>
      </c>
    </row>
    <row r="24" spans="1:16" x14ac:dyDescent="0.3">
      <c r="A24" s="6">
        <v>40817</v>
      </c>
      <c r="B24" s="8">
        <v>1070704.67</v>
      </c>
      <c r="C24">
        <v>23</v>
      </c>
      <c r="D24">
        <v>529</v>
      </c>
      <c r="E24">
        <f t="shared" si="0"/>
        <v>995090.43871454848</v>
      </c>
      <c r="H24" t="s">
        <v>39</v>
      </c>
    </row>
    <row r="25" spans="1:16" ht="15" thickBot="1" x14ac:dyDescent="0.35">
      <c r="A25" s="6">
        <v>40848</v>
      </c>
      <c r="B25" s="8">
        <v>1461756.25</v>
      </c>
      <c r="C25">
        <v>24</v>
      </c>
      <c r="D25">
        <v>576</v>
      </c>
      <c r="E25">
        <f t="shared" si="0"/>
        <v>1032360.2683961538</v>
      </c>
    </row>
    <row r="26" spans="1:16" x14ac:dyDescent="0.3">
      <c r="A26" s="6">
        <v>40878</v>
      </c>
      <c r="C26">
        <v>25</v>
      </c>
      <c r="D26">
        <v>625</v>
      </c>
      <c r="E26">
        <f t="shared" si="0"/>
        <v>1071785.9237203556</v>
      </c>
      <c r="H26" s="11" t="s">
        <v>40</v>
      </c>
      <c r="I26" s="11" t="s">
        <v>41</v>
      </c>
      <c r="J26" s="11" t="s">
        <v>42</v>
      </c>
      <c r="K26" s="11" t="s">
        <v>43</v>
      </c>
    </row>
    <row r="27" spans="1:16" x14ac:dyDescent="0.3">
      <c r="A27" s="6">
        <v>40909</v>
      </c>
      <c r="C27">
        <v>26</v>
      </c>
      <c r="D27">
        <v>676</v>
      </c>
      <c r="E27">
        <f t="shared" si="0"/>
        <v>1113367.4046871541</v>
      </c>
      <c r="H27" s="9">
        <v>1</v>
      </c>
      <c r="I27" s="9">
        <v>720578.07329615357</v>
      </c>
      <c r="J27" s="9">
        <v>79269.036703846417</v>
      </c>
      <c r="K27" s="9">
        <v>0.3192087440945035</v>
      </c>
    </row>
    <row r="28" spans="1:16" x14ac:dyDescent="0.3">
      <c r="A28" s="6">
        <v>40940</v>
      </c>
      <c r="C28">
        <v>27</v>
      </c>
      <c r="D28">
        <v>729</v>
      </c>
      <c r="E28">
        <f t="shared" si="0"/>
        <v>1157104.7112965491</v>
      </c>
      <c r="H28" s="9">
        <v>2</v>
      </c>
      <c r="I28" s="9">
        <v>710419.73884063528</v>
      </c>
      <c r="J28" s="9">
        <v>-86386.84884063527</v>
      </c>
      <c r="K28" s="9">
        <v>-0.34787148515156407</v>
      </c>
    </row>
    <row r="29" spans="1:16" x14ac:dyDescent="0.3">
      <c r="A29" s="6">
        <v>40969</v>
      </c>
      <c r="C29">
        <v>28</v>
      </c>
      <c r="D29">
        <v>784</v>
      </c>
      <c r="E29">
        <f t="shared" si="0"/>
        <v>1202997.8435485405</v>
      </c>
      <c r="H29" s="9">
        <v>3</v>
      </c>
      <c r="I29" s="9">
        <v>702417.23002771346</v>
      </c>
      <c r="J29" s="9">
        <v>-169325.80002771341</v>
      </c>
      <c r="K29" s="9">
        <v>-0.681858619924679</v>
      </c>
    </row>
    <row r="30" spans="1:16" x14ac:dyDescent="0.3">
      <c r="A30" s="6">
        <v>41000</v>
      </c>
      <c r="C30">
        <v>29</v>
      </c>
      <c r="D30">
        <v>841</v>
      </c>
      <c r="E30">
        <f t="shared" si="0"/>
        <v>1251046.8014431286</v>
      </c>
      <c r="H30" s="9">
        <v>4</v>
      </c>
      <c r="I30" s="9">
        <v>696570.54685738811</v>
      </c>
      <c r="J30" s="9">
        <v>69278.213142611901</v>
      </c>
      <c r="K30" s="9">
        <v>0.2789766639020026</v>
      </c>
    </row>
    <row r="31" spans="1:16" x14ac:dyDescent="0.3">
      <c r="A31" s="6">
        <v>41030</v>
      </c>
      <c r="C31">
        <v>30</v>
      </c>
      <c r="D31">
        <v>900</v>
      </c>
      <c r="E31">
        <f t="shared" si="0"/>
        <v>1301251.5849803132</v>
      </c>
      <c r="H31" s="9">
        <v>5</v>
      </c>
      <c r="I31" s="9">
        <v>692879.68932965922</v>
      </c>
      <c r="J31" s="9">
        <v>-102299.25932965917</v>
      </c>
      <c r="K31" s="9">
        <v>-0.41194922318052962</v>
      </c>
    </row>
    <row r="32" spans="1:16" x14ac:dyDescent="0.3">
      <c r="A32" s="6">
        <v>41061</v>
      </c>
      <c r="C32">
        <v>31</v>
      </c>
      <c r="D32">
        <v>961</v>
      </c>
      <c r="E32">
        <f t="shared" si="0"/>
        <v>1353612.1941600943</v>
      </c>
      <c r="H32" s="9">
        <v>6</v>
      </c>
      <c r="I32" s="9">
        <v>691344.65744452702</v>
      </c>
      <c r="J32" s="9">
        <v>-76021.827444527065</v>
      </c>
      <c r="K32" s="9">
        <v>-0.30613254646954763</v>
      </c>
    </row>
    <row r="33" spans="1:11" x14ac:dyDescent="0.3">
      <c r="A33" s="6">
        <v>41091</v>
      </c>
      <c r="C33">
        <v>32</v>
      </c>
      <c r="D33">
        <v>1024</v>
      </c>
      <c r="E33">
        <f t="shared" si="0"/>
        <v>1408128.6289824718</v>
      </c>
      <c r="H33" s="9">
        <v>7</v>
      </c>
      <c r="I33" s="9">
        <v>691965.45120199141</v>
      </c>
      <c r="J33" s="9">
        <v>-12178.841201991425</v>
      </c>
      <c r="K33" s="9">
        <v>-4.9043015611989087E-2</v>
      </c>
    </row>
    <row r="34" spans="1:11" x14ac:dyDescent="0.3">
      <c r="A34" s="6">
        <v>41122</v>
      </c>
      <c r="C34">
        <v>33</v>
      </c>
      <c r="D34">
        <v>1089</v>
      </c>
      <c r="E34">
        <f t="shared" si="0"/>
        <v>1464800.889447446</v>
      </c>
      <c r="H34" s="9">
        <v>8</v>
      </c>
      <c r="I34" s="9">
        <v>694742.07060205215</v>
      </c>
      <c r="J34" s="9">
        <v>-119505.71060205216</v>
      </c>
      <c r="K34" s="9">
        <v>-0.48123793828758887</v>
      </c>
    </row>
    <row r="35" spans="1:11" x14ac:dyDescent="0.3">
      <c r="A35" s="6">
        <v>41153</v>
      </c>
      <c r="C35">
        <v>34</v>
      </c>
      <c r="D35">
        <v>1156</v>
      </c>
      <c r="E35">
        <f t="shared" si="0"/>
        <v>1523628.9755550169</v>
      </c>
      <c r="H35" s="9">
        <v>9</v>
      </c>
      <c r="I35" s="9">
        <v>699674.51564470946</v>
      </c>
      <c r="J35" s="9">
        <v>-42898.175644709496</v>
      </c>
      <c r="K35" s="9">
        <v>-0.17274680431216441</v>
      </c>
    </row>
    <row r="36" spans="1:11" x14ac:dyDescent="0.3">
      <c r="A36" s="6">
        <v>41183</v>
      </c>
      <c r="C36">
        <v>35</v>
      </c>
      <c r="D36">
        <v>1225</v>
      </c>
      <c r="E36">
        <f t="shared" si="0"/>
        <v>1584612.887305184</v>
      </c>
      <c r="H36" s="9">
        <v>10</v>
      </c>
      <c r="I36" s="9">
        <v>706762.78632996348</v>
      </c>
      <c r="J36" s="9">
        <v>146887.64367003657</v>
      </c>
      <c r="K36" s="9">
        <v>0.59150233443720091</v>
      </c>
    </row>
    <row r="37" spans="1:11" x14ac:dyDescent="0.3">
      <c r="A37" s="6">
        <v>41214</v>
      </c>
      <c r="C37">
        <v>36</v>
      </c>
      <c r="D37">
        <v>1296</v>
      </c>
      <c r="E37">
        <f t="shared" si="0"/>
        <v>1647752.6246979476</v>
      </c>
      <c r="H37" s="9">
        <v>11</v>
      </c>
      <c r="I37" s="9">
        <v>716006.88265781384</v>
      </c>
      <c r="J37" s="9">
        <v>329161.46734218614</v>
      </c>
      <c r="K37" s="9">
        <v>1.3255013932761053</v>
      </c>
    </row>
    <row r="38" spans="1:11" x14ac:dyDescent="0.3">
      <c r="H38" s="9">
        <v>12</v>
      </c>
      <c r="I38" s="9">
        <v>727406.80462826078</v>
      </c>
      <c r="J38" s="9">
        <v>695247.83537173911</v>
      </c>
      <c r="K38" s="9">
        <v>2.7996957903320423</v>
      </c>
    </row>
    <row r="39" spans="1:11" x14ac:dyDescent="0.3">
      <c r="H39" s="9">
        <v>13</v>
      </c>
      <c r="I39" s="9">
        <v>740962.55224130419</v>
      </c>
      <c r="J39" s="9">
        <v>385482.91775869578</v>
      </c>
      <c r="K39" s="9">
        <v>1.5523024268272361</v>
      </c>
    </row>
    <row r="40" spans="1:11" x14ac:dyDescent="0.3">
      <c r="H40" s="9">
        <v>14</v>
      </c>
      <c r="I40" s="9">
        <v>756674.12549694418</v>
      </c>
      <c r="J40" s="9">
        <v>-196673.86549694417</v>
      </c>
      <c r="K40" s="9">
        <v>-0.7919866345297033</v>
      </c>
    </row>
    <row r="41" spans="1:11" x14ac:dyDescent="0.3">
      <c r="H41" s="9">
        <v>15</v>
      </c>
      <c r="I41" s="9">
        <v>774541.52439518087</v>
      </c>
      <c r="J41" s="9">
        <v>-276478.87439518084</v>
      </c>
      <c r="K41" s="9">
        <v>-1.113353686813066</v>
      </c>
    </row>
    <row r="42" spans="1:11" x14ac:dyDescent="0.3">
      <c r="H42" s="9">
        <v>16</v>
      </c>
      <c r="I42" s="9">
        <v>794564.7489360139</v>
      </c>
      <c r="J42" s="9">
        <v>-111297.66893601394</v>
      </c>
      <c r="K42" s="9">
        <v>-0.44818494836063699</v>
      </c>
    </row>
    <row r="43" spans="1:11" x14ac:dyDescent="0.3">
      <c r="H43" s="9">
        <v>17</v>
      </c>
      <c r="I43" s="9">
        <v>816743.79911944352</v>
      </c>
      <c r="J43" s="9">
        <v>-323536.67911944352</v>
      </c>
      <c r="K43" s="9">
        <v>-1.3028509151192023</v>
      </c>
    </row>
    <row r="44" spans="1:11" x14ac:dyDescent="0.3">
      <c r="H44" s="9">
        <v>18</v>
      </c>
      <c r="I44" s="9">
        <v>841078.67494546971</v>
      </c>
      <c r="J44" s="9">
        <v>-117745.1649454697</v>
      </c>
      <c r="K44" s="9">
        <v>-0.47414839120430197</v>
      </c>
    </row>
    <row r="45" spans="1:11" x14ac:dyDescent="0.3">
      <c r="H45" s="9">
        <v>19</v>
      </c>
      <c r="I45" s="9">
        <v>867569.37641409237</v>
      </c>
      <c r="J45" s="9">
        <v>-176446.25641409238</v>
      </c>
      <c r="K45" s="9">
        <v>-0.71053200911909342</v>
      </c>
    </row>
    <row r="46" spans="1:11" x14ac:dyDescent="0.3">
      <c r="H46" s="9">
        <v>20</v>
      </c>
      <c r="I46" s="9">
        <v>896215.90352531162</v>
      </c>
      <c r="J46" s="9">
        <v>-214915.79352531163</v>
      </c>
      <c r="K46" s="9">
        <v>-0.86544511438423322</v>
      </c>
    </row>
    <row r="47" spans="1:11" x14ac:dyDescent="0.3">
      <c r="H47" s="9">
        <v>21</v>
      </c>
      <c r="I47" s="9">
        <v>927018.25627912732</v>
      </c>
      <c r="J47" s="9">
        <v>-244337.74627912731</v>
      </c>
      <c r="K47" s="9">
        <v>-0.98392447250285664</v>
      </c>
    </row>
    <row r="48" spans="1:11" x14ac:dyDescent="0.3">
      <c r="H48" s="9">
        <v>22</v>
      </c>
      <c r="I48" s="9">
        <v>959976.43467553961</v>
      </c>
      <c r="J48" s="9">
        <v>59711.185324460384</v>
      </c>
      <c r="K48" s="9">
        <v>0.24045116817838497</v>
      </c>
    </row>
    <row r="49" spans="8:11" x14ac:dyDescent="0.3">
      <c r="H49" s="9">
        <v>23</v>
      </c>
      <c r="I49" s="9">
        <v>995090.43871454848</v>
      </c>
      <c r="J49" s="9">
        <v>75614.231285451446</v>
      </c>
      <c r="K49" s="9">
        <v>0.30449119615867704</v>
      </c>
    </row>
    <row r="50" spans="8:11" ht="15" thickBot="1" x14ac:dyDescent="0.35">
      <c r="H50" s="10">
        <v>24</v>
      </c>
      <c r="I50" s="10">
        <v>1032360.2683961538</v>
      </c>
      <c r="J50" s="10">
        <v>429395.98160384619</v>
      </c>
      <c r="K50" s="10">
        <v>1.7291360877650135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86D5-5F24-4C79-A675-112938A264EF}">
  <dimension ref="A1:AK66"/>
  <sheetViews>
    <sheetView topLeftCell="A36" workbookViewId="0">
      <selection activeCell="N51" sqref="N51"/>
    </sheetView>
  </sheetViews>
  <sheetFormatPr defaultRowHeight="14.4" x14ac:dyDescent="0.3"/>
  <cols>
    <col min="1" max="1" width="11" style="3" bestFit="1" customWidth="1"/>
    <col min="2" max="2" width="11" bestFit="1" customWidth="1"/>
    <col min="3" max="3" width="11" customWidth="1"/>
    <col min="16" max="16" width="19.88671875" customWidth="1"/>
    <col min="18" max="18" width="13.33203125" bestFit="1" customWidth="1"/>
    <col min="29" max="29" width="13.33203125" bestFit="1" customWidth="1"/>
  </cols>
  <sheetData>
    <row r="1" spans="1:30" x14ac:dyDescent="0.3">
      <c r="A1" s="4" t="s">
        <v>0</v>
      </c>
      <c r="B1" s="5" t="s">
        <v>1</v>
      </c>
      <c r="C1" s="5" t="s">
        <v>14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44</v>
      </c>
      <c r="Q1" s="13"/>
      <c r="R1" s="9" t="s">
        <v>26</v>
      </c>
      <c r="S1" s="9" t="s">
        <v>2</v>
      </c>
      <c r="T1" s="9" t="s">
        <v>3</v>
      </c>
      <c r="U1" s="9" t="s">
        <v>4</v>
      </c>
      <c r="V1" s="9" t="s">
        <v>5</v>
      </c>
      <c r="W1" s="9" t="s">
        <v>6</v>
      </c>
      <c r="X1" s="9" t="s">
        <v>7</v>
      </c>
      <c r="Y1" s="9" t="s">
        <v>8</v>
      </c>
      <c r="Z1" s="9" t="s">
        <v>9</v>
      </c>
      <c r="AA1" s="9" t="s">
        <v>10</v>
      </c>
      <c r="AB1" s="9" t="s">
        <v>11</v>
      </c>
      <c r="AC1" s="9" t="s">
        <v>12</v>
      </c>
    </row>
    <row r="2" spans="1:30" x14ac:dyDescent="0.3">
      <c r="A2" s="6">
        <v>40148</v>
      </c>
      <c r="B2" s="8">
        <v>799847.11</v>
      </c>
      <c r="C2" s="8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>$R$2+SUMPRODUCT(D2:N2,$S$2:$AC$2)</f>
        <v>963146.2899999998</v>
      </c>
      <c r="R2" s="9">
        <v>1442205.4450000001</v>
      </c>
      <c r="S2" s="9">
        <v>-479059.15500000032</v>
      </c>
      <c r="T2" s="9">
        <v>-850188.87000000034</v>
      </c>
      <c r="U2" s="9">
        <v>-926628.40500000061</v>
      </c>
      <c r="V2" s="9">
        <v>-717647.52499999932</v>
      </c>
      <c r="W2" s="9">
        <v>-900311.66999999934</v>
      </c>
      <c r="X2" s="9">
        <v>-772877.27500000014</v>
      </c>
      <c r="Y2" s="9">
        <v>-756750.58000000089</v>
      </c>
      <c r="Z2" s="9">
        <v>-813937.21000000031</v>
      </c>
      <c r="AA2" s="9">
        <v>-772477.02000000037</v>
      </c>
      <c r="AB2" s="9">
        <v>-505536.42000000033</v>
      </c>
      <c r="AC2" s="9">
        <v>-384268.93500000035</v>
      </c>
    </row>
    <row r="3" spans="1:30" x14ac:dyDescent="0.3">
      <c r="A3" s="6">
        <v>40179</v>
      </c>
      <c r="B3" s="8">
        <v>624032.89</v>
      </c>
      <c r="C3" s="8">
        <v>2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f t="shared" ref="P3:P37" si="0">$R$2+SUMPRODUCT(D3:N3,$S$2:$AC$2)</f>
        <v>592016.57499999972</v>
      </c>
    </row>
    <row r="4" spans="1:30" x14ac:dyDescent="0.3">
      <c r="A4" s="6">
        <v>40210</v>
      </c>
      <c r="B4" s="8">
        <v>533091.43000000005</v>
      </c>
      <c r="C4" s="8">
        <v>3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 t="shared" si="0"/>
        <v>515577.03999999946</v>
      </c>
    </row>
    <row r="5" spans="1:30" x14ac:dyDescent="0.3">
      <c r="A5" s="6">
        <v>40238</v>
      </c>
      <c r="B5" s="8">
        <v>765848.76</v>
      </c>
      <c r="C5" s="8">
        <v>4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si="0"/>
        <v>724557.92000000074</v>
      </c>
    </row>
    <row r="6" spans="1:30" x14ac:dyDescent="0.3">
      <c r="A6" s="6">
        <v>40269</v>
      </c>
      <c r="B6" s="8">
        <v>590580.43000000005</v>
      </c>
      <c r="C6" s="8">
        <v>5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0"/>
        <v>541893.77500000072</v>
      </c>
      <c r="R6" s="13" t="s">
        <v>46</v>
      </c>
      <c r="AC6" s="13" t="s">
        <v>45</v>
      </c>
    </row>
    <row r="7" spans="1:30" x14ac:dyDescent="0.3">
      <c r="A7" s="6">
        <v>40299</v>
      </c>
      <c r="B7" s="8">
        <v>615322.82999999996</v>
      </c>
      <c r="C7" s="8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si="0"/>
        <v>669328.16999999993</v>
      </c>
    </row>
    <row r="8" spans="1:30" x14ac:dyDescent="0.3">
      <c r="A8" s="6">
        <v>40330</v>
      </c>
      <c r="B8" s="8">
        <v>679786.61</v>
      </c>
      <c r="C8" s="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0"/>
        <v>685454.86499999918</v>
      </c>
      <c r="R8" t="s">
        <v>15</v>
      </c>
      <c r="AC8" t="s">
        <v>15</v>
      </c>
    </row>
    <row r="9" spans="1:30" ht="15" thickBot="1" x14ac:dyDescent="0.35">
      <c r="A9" s="6">
        <v>40360</v>
      </c>
      <c r="B9" s="8">
        <v>575236.36</v>
      </c>
      <c r="C9" s="8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f t="shared" si="0"/>
        <v>628268.23499999975</v>
      </c>
    </row>
    <row r="10" spans="1:30" x14ac:dyDescent="0.3">
      <c r="A10" s="6">
        <v>40391</v>
      </c>
      <c r="B10" s="8">
        <v>656776.34</v>
      </c>
      <c r="C10" s="8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f t="shared" si="0"/>
        <v>669728.4249999997</v>
      </c>
      <c r="R10" s="12" t="s">
        <v>16</v>
      </c>
      <c r="S10" s="12"/>
      <c r="AC10" s="12" t="s">
        <v>16</v>
      </c>
      <c r="AD10" s="12"/>
    </row>
    <row r="11" spans="1:30" x14ac:dyDescent="0.3">
      <c r="A11" s="6">
        <v>40422</v>
      </c>
      <c r="B11" s="8">
        <v>853650.43</v>
      </c>
      <c r="C11" s="8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f t="shared" si="0"/>
        <v>936669.02499999967</v>
      </c>
      <c r="R11" s="9" t="s">
        <v>17</v>
      </c>
      <c r="S11" s="9">
        <v>0.97615474285852166</v>
      </c>
      <c r="AC11" s="9" t="s">
        <v>17</v>
      </c>
      <c r="AD11" s="9">
        <v>0.97258684590047861</v>
      </c>
    </row>
    <row r="12" spans="1:30" x14ac:dyDescent="0.3">
      <c r="A12" s="6">
        <v>40452</v>
      </c>
      <c r="B12" s="8">
        <v>1045168.35</v>
      </c>
      <c r="C12" s="8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f t="shared" si="0"/>
        <v>1057936.5099999998</v>
      </c>
      <c r="R12" s="9" t="s">
        <v>18</v>
      </c>
      <c r="S12" s="9">
        <v>0.95287808200518664</v>
      </c>
      <c r="AC12" s="9" t="s">
        <v>18</v>
      </c>
      <c r="AD12" s="9">
        <v>0.9459251728186413</v>
      </c>
    </row>
    <row r="13" spans="1:30" x14ac:dyDescent="0.3">
      <c r="A13" s="6">
        <v>40483</v>
      </c>
      <c r="B13" s="8">
        <v>1422654.64</v>
      </c>
      <c r="C13" s="8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f t="shared" si="0"/>
        <v>1442205.4450000001</v>
      </c>
      <c r="R13" s="9" t="s">
        <v>19</v>
      </c>
      <c r="S13" s="9">
        <v>0.90147235328357211</v>
      </c>
      <c r="AC13" s="9" t="s">
        <v>19</v>
      </c>
      <c r="AD13" s="9">
        <v>0.89635658123572914</v>
      </c>
    </row>
    <row r="14" spans="1:30" x14ac:dyDescent="0.3">
      <c r="A14" s="6">
        <v>40513</v>
      </c>
      <c r="B14" s="8">
        <v>1126445.47</v>
      </c>
      <c r="C14" s="8">
        <v>13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f t="shared" si="0"/>
        <v>963146.2899999998</v>
      </c>
      <c r="R14" s="9" t="s">
        <v>20</v>
      </c>
      <c r="S14" s="9">
        <v>84849.91431538359</v>
      </c>
      <c r="AC14" s="9" t="s">
        <v>20</v>
      </c>
      <c r="AD14" s="9">
        <v>87024.836925777869</v>
      </c>
    </row>
    <row r="15" spans="1:30" ht="15" thickBot="1" x14ac:dyDescent="0.35">
      <c r="A15" s="6">
        <v>40544</v>
      </c>
      <c r="B15" s="8">
        <v>560000.26</v>
      </c>
      <c r="C15" s="8">
        <v>14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0"/>
        <v>592016.57499999972</v>
      </c>
      <c r="R15" s="10" t="s">
        <v>21</v>
      </c>
      <c r="S15" s="10">
        <v>24</v>
      </c>
      <c r="AC15" s="10" t="s">
        <v>21</v>
      </c>
      <c r="AD15" s="10">
        <v>24</v>
      </c>
    </row>
    <row r="16" spans="1:30" x14ac:dyDescent="0.3">
      <c r="A16" s="6">
        <v>40575</v>
      </c>
      <c r="B16" s="8">
        <v>498062.65</v>
      </c>
      <c r="C16" s="8">
        <v>15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f t="shared" si="0"/>
        <v>515577.03999999946</v>
      </c>
    </row>
    <row r="17" spans="1:37" ht="15" thickBot="1" x14ac:dyDescent="0.35">
      <c r="A17" s="6">
        <v>40603</v>
      </c>
      <c r="B17" s="8">
        <v>683267.08</v>
      </c>
      <c r="C17" s="8">
        <v>16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f t="shared" si="0"/>
        <v>724557.92000000074</v>
      </c>
      <c r="R17" t="s">
        <v>22</v>
      </c>
      <c r="AC17" t="s">
        <v>22</v>
      </c>
    </row>
    <row r="18" spans="1:37" x14ac:dyDescent="0.3">
      <c r="A18" s="6">
        <v>40634</v>
      </c>
      <c r="B18" s="8">
        <v>493207.12</v>
      </c>
      <c r="C18" s="8">
        <v>17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0"/>
        <v>541893.77500000072</v>
      </c>
      <c r="R18" s="11"/>
      <c r="S18" s="11" t="s">
        <v>27</v>
      </c>
      <c r="T18" s="11" t="s">
        <v>28</v>
      </c>
      <c r="U18" s="11" t="s">
        <v>29</v>
      </c>
      <c r="V18" s="11" t="s">
        <v>30</v>
      </c>
      <c r="W18" s="11" t="s">
        <v>31</v>
      </c>
      <c r="AC18" s="11"/>
      <c r="AD18" s="11" t="s">
        <v>27</v>
      </c>
      <c r="AE18" s="11" t="s">
        <v>28</v>
      </c>
      <c r="AF18" s="11" t="s">
        <v>29</v>
      </c>
      <c r="AG18" s="11" t="s">
        <v>30</v>
      </c>
      <c r="AH18" s="11" t="s">
        <v>31</v>
      </c>
    </row>
    <row r="19" spans="1:37" x14ac:dyDescent="0.3">
      <c r="A19" s="6">
        <v>40664</v>
      </c>
      <c r="B19" s="8">
        <v>723333.51</v>
      </c>
      <c r="C19" s="8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0"/>
        <v>669328.16999999993</v>
      </c>
      <c r="R19" s="9" t="s">
        <v>23</v>
      </c>
      <c r="S19" s="9">
        <v>12</v>
      </c>
      <c r="T19" s="9">
        <v>1601437078614.3789</v>
      </c>
      <c r="U19" s="9">
        <v>133453089884.53157</v>
      </c>
      <c r="V19" s="9">
        <v>18.536418132801014</v>
      </c>
      <c r="W19" s="9">
        <v>1.4180099202519925E-5</v>
      </c>
      <c r="AC19" s="9" t="s">
        <v>23</v>
      </c>
      <c r="AD19" s="9">
        <v>11</v>
      </c>
      <c r="AE19" s="9">
        <v>1589751799263.4873</v>
      </c>
      <c r="AF19" s="9">
        <v>144522890842.13522</v>
      </c>
      <c r="AG19" s="9">
        <v>19.083156140041126</v>
      </c>
      <c r="AH19" s="9">
        <v>6.3786371623180703E-6</v>
      </c>
    </row>
    <row r="20" spans="1:37" x14ac:dyDescent="0.3">
      <c r="A20" s="6">
        <v>40695</v>
      </c>
      <c r="B20" s="8">
        <v>691123.12</v>
      </c>
      <c r="C20" s="8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f t="shared" si="0"/>
        <v>685454.86499999918</v>
      </c>
      <c r="R20" s="9" t="s">
        <v>24</v>
      </c>
      <c r="S20" s="9">
        <v>11</v>
      </c>
      <c r="T20" s="9">
        <v>79194587552.6073</v>
      </c>
      <c r="U20" s="9">
        <v>7199507959.3279362</v>
      </c>
      <c r="V20" s="9"/>
      <c r="W20" s="9"/>
      <c r="AC20" s="9" t="s">
        <v>24</v>
      </c>
      <c r="AD20" s="9">
        <v>12</v>
      </c>
      <c r="AE20" s="9">
        <v>90879866903.498764</v>
      </c>
      <c r="AF20" s="9">
        <v>7573322241.95823</v>
      </c>
      <c r="AG20" s="9"/>
      <c r="AH20" s="9"/>
    </row>
    <row r="21" spans="1:37" ht="15" thickBot="1" x14ac:dyDescent="0.35">
      <c r="A21" s="6">
        <v>40725</v>
      </c>
      <c r="B21" s="8">
        <v>681300.11</v>
      </c>
      <c r="C21" s="8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f t="shared" si="0"/>
        <v>628268.23499999975</v>
      </c>
      <c r="R21" s="10" t="s">
        <v>25</v>
      </c>
      <c r="S21" s="10">
        <v>23</v>
      </c>
      <c r="T21" s="10">
        <v>1680631666166.9863</v>
      </c>
      <c r="U21" s="10"/>
      <c r="V21" s="10"/>
      <c r="W21" s="10"/>
      <c r="AC21" s="10" t="s">
        <v>25</v>
      </c>
      <c r="AD21" s="10">
        <v>23</v>
      </c>
      <c r="AE21" s="10">
        <v>1680631666166.9861</v>
      </c>
      <c r="AF21" s="10"/>
      <c r="AG21" s="10"/>
      <c r="AH21" s="10"/>
    </row>
    <row r="22" spans="1:37" ht="15" thickBot="1" x14ac:dyDescent="0.35">
      <c r="A22" s="6">
        <v>40756</v>
      </c>
      <c r="B22" s="8">
        <v>682680.51</v>
      </c>
      <c r="C22" s="8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f t="shared" si="0"/>
        <v>669728.4249999997</v>
      </c>
    </row>
    <row r="23" spans="1:37" x14ac:dyDescent="0.3">
      <c r="A23" s="6">
        <v>40787</v>
      </c>
      <c r="B23" s="8">
        <v>1019687.62</v>
      </c>
      <c r="C23" s="8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f t="shared" si="0"/>
        <v>936669.02499999967</v>
      </c>
      <c r="R23" s="11"/>
      <c r="S23" s="11" t="s">
        <v>32</v>
      </c>
      <c r="T23" s="11" t="s">
        <v>20</v>
      </c>
      <c r="U23" s="11" t="s">
        <v>33</v>
      </c>
      <c r="V23" s="11" t="s">
        <v>34</v>
      </c>
      <c r="W23" s="11" t="s">
        <v>35</v>
      </c>
      <c r="X23" s="11" t="s">
        <v>36</v>
      </c>
      <c r="Y23" s="11" t="s">
        <v>37</v>
      </c>
      <c r="Z23" s="11" t="s">
        <v>38</v>
      </c>
      <c r="AC23" s="11"/>
      <c r="AD23" s="11" t="s">
        <v>32</v>
      </c>
      <c r="AE23" s="11" t="s">
        <v>20</v>
      </c>
      <c r="AF23" s="11" t="s">
        <v>33</v>
      </c>
      <c r="AG23" s="11" t="s">
        <v>34</v>
      </c>
      <c r="AH23" s="11" t="s">
        <v>35</v>
      </c>
      <c r="AI23" s="11" t="s">
        <v>36</v>
      </c>
      <c r="AJ23" s="11" t="s">
        <v>37</v>
      </c>
      <c r="AK23" s="11" t="s">
        <v>38</v>
      </c>
    </row>
    <row r="24" spans="1:37" x14ac:dyDescent="0.3">
      <c r="A24" s="6">
        <v>40817</v>
      </c>
      <c r="B24" s="8">
        <v>1070704.67</v>
      </c>
      <c r="C24" s="8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f t="shared" si="0"/>
        <v>1057936.5099999998</v>
      </c>
      <c r="R24" s="9" t="s">
        <v>26</v>
      </c>
      <c r="S24" s="9">
        <v>1376008.9212500001</v>
      </c>
      <c r="T24" s="9">
        <v>79369.82716632275</v>
      </c>
      <c r="U24" s="9">
        <v>17.336675288035043</v>
      </c>
      <c r="V24" s="9">
        <v>2.4612440294919478E-9</v>
      </c>
      <c r="W24" s="9">
        <v>1201317.1094978857</v>
      </c>
      <c r="X24" s="9">
        <v>1550700.7330021146</v>
      </c>
      <c r="Y24" s="9">
        <v>1201317.1094978857</v>
      </c>
      <c r="Z24" s="9">
        <v>1550700.7330021146</v>
      </c>
      <c r="AC24" s="9" t="s">
        <v>26</v>
      </c>
      <c r="AD24" s="9">
        <v>1442205.4450000001</v>
      </c>
      <c r="AE24" s="9">
        <v>61535.852321870974</v>
      </c>
      <c r="AF24" s="9">
        <v>23.436832197535253</v>
      </c>
      <c r="AG24" s="9">
        <v>2.1742815511683998E-11</v>
      </c>
      <c r="AH24" s="9">
        <v>1308130.3404765998</v>
      </c>
      <c r="AI24" s="9">
        <v>1576280.5495234004</v>
      </c>
      <c r="AJ24" s="9">
        <v>1308130.3404765998</v>
      </c>
      <c r="AK24" s="9">
        <v>1576280.5495234004</v>
      </c>
    </row>
    <row r="25" spans="1:37" x14ac:dyDescent="0.3">
      <c r="A25" s="6">
        <v>40848</v>
      </c>
      <c r="B25" s="8">
        <v>1461756.25</v>
      </c>
      <c r="C25" s="8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f t="shared" si="0"/>
        <v>1442205.4450000001</v>
      </c>
      <c r="R25" s="9" t="s">
        <v>14</v>
      </c>
      <c r="S25" s="9">
        <v>3677.5846527777771</v>
      </c>
      <c r="T25" s="9">
        <v>2886.6527054383837</v>
      </c>
      <c r="U25" s="9">
        <v>1.2739962260958158</v>
      </c>
      <c r="V25" s="9">
        <v>0.2289236808092896</v>
      </c>
      <c r="W25" s="9">
        <v>-2675.8951142304845</v>
      </c>
      <c r="X25" s="9">
        <v>10031.064419786038</v>
      </c>
      <c r="Y25" s="9">
        <v>-2675.8951142304845</v>
      </c>
      <c r="Z25" s="9">
        <v>10031.064419786038</v>
      </c>
      <c r="AC25" s="9" t="s">
        <v>2</v>
      </c>
      <c r="AD25" s="9">
        <v>-479059.15500000032</v>
      </c>
      <c r="AE25" s="9">
        <v>87024.836925777854</v>
      </c>
      <c r="AF25" s="9">
        <v>-5.5048555323186932</v>
      </c>
      <c r="AG25" s="9">
        <v>1.3519893958310636E-4</v>
      </c>
      <c r="AH25" s="9">
        <v>-668669.98619358346</v>
      </c>
      <c r="AI25" s="9">
        <v>-289448.32380641717</v>
      </c>
      <c r="AJ25" s="9">
        <v>-668669.98619358346</v>
      </c>
      <c r="AK25" s="9">
        <v>-289448.32380641717</v>
      </c>
    </row>
    <row r="26" spans="1:37" x14ac:dyDescent="0.3">
      <c r="A26" s="6">
        <v>40878</v>
      </c>
      <c r="C26" s="8">
        <v>25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0"/>
        <v>963146.2899999998</v>
      </c>
      <c r="R26" s="9" t="s">
        <v>2</v>
      </c>
      <c r="S26" s="9">
        <v>-438605.72381944448</v>
      </c>
      <c r="T26" s="9">
        <v>90596.757029087501</v>
      </c>
      <c r="U26" s="9">
        <v>-4.841296070659828</v>
      </c>
      <c r="V26" s="9">
        <v>5.1791885964659503E-4</v>
      </c>
      <c r="W26" s="9">
        <v>-638007.84159289394</v>
      </c>
      <c r="X26" s="9">
        <v>-239203.60604599505</v>
      </c>
      <c r="Y26" s="9">
        <v>-638007.84159289394</v>
      </c>
      <c r="Z26" s="9">
        <v>-239203.60604599505</v>
      </c>
      <c r="AC26" s="9" t="s">
        <v>3</v>
      </c>
      <c r="AD26" s="9">
        <v>-850188.87000000034</v>
      </c>
      <c r="AE26" s="9">
        <v>87024.836925777898</v>
      </c>
      <c r="AF26" s="9">
        <v>-9.7694968474932384</v>
      </c>
      <c r="AG26" s="9">
        <v>4.6048752835141443E-7</v>
      </c>
      <c r="AH26" s="9">
        <v>-1039799.7011935837</v>
      </c>
      <c r="AI26" s="9">
        <v>-660578.03880641703</v>
      </c>
      <c r="AJ26" s="9">
        <v>-1039799.7011935837</v>
      </c>
      <c r="AK26" s="9">
        <v>-660578.03880641703</v>
      </c>
    </row>
    <row r="27" spans="1:37" x14ac:dyDescent="0.3">
      <c r="A27" s="6">
        <v>40909</v>
      </c>
      <c r="C27" s="8">
        <v>26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0"/>
        <v>592016.57499999972</v>
      </c>
      <c r="R27" s="9" t="s">
        <v>3</v>
      </c>
      <c r="S27" s="9">
        <v>-813413.02347222285</v>
      </c>
      <c r="T27" s="9">
        <v>89625.801773314248</v>
      </c>
      <c r="U27" s="9">
        <v>-9.0756568686497765</v>
      </c>
      <c r="V27" s="9">
        <v>1.9311683372695391E-6</v>
      </c>
      <c r="W27" s="9">
        <v>-1010678.0831366023</v>
      </c>
      <c r="X27" s="9">
        <v>-616147.96380784339</v>
      </c>
      <c r="Y27" s="9">
        <v>-1010678.0831366023</v>
      </c>
      <c r="Z27" s="9">
        <v>-616147.96380784339</v>
      </c>
      <c r="AC27" s="9" t="s">
        <v>4</v>
      </c>
      <c r="AD27" s="9">
        <v>-926628.40500000061</v>
      </c>
      <c r="AE27" s="9">
        <v>87024.836925777898</v>
      </c>
      <c r="AF27" s="9">
        <v>-10.647861435124634</v>
      </c>
      <c r="AG27" s="9">
        <v>1.8101213584188364E-7</v>
      </c>
      <c r="AH27" s="9">
        <v>-1116239.2361935838</v>
      </c>
      <c r="AI27" s="9">
        <v>-737017.57380641741</v>
      </c>
      <c r="AJ27" s="9">
        <v>-1116239.2361935838</v>
      </c>
      <c r="AK27" s="9">
        <v>-737017.57380641741</v>
      </c>
    </row>
    <row r="28" spans="1:37" x14ac:dyDescent="0.3">
      <c r="A28" s="6">
        <v>40940</v>
      </c>
      <c r="C28" s="8">
        <v>27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0"/>
        <v>515577.03999999946</v>
      </c>
      <c r="R28" s="9" t="s">
        <v>4</v>
      </c>
      <c r="S28" s="9">
        <v>-893530.14312500018</v>
      </c>
      <c r="T28" s="9">
        <v>88738.164453153615</v>
      </c>
      <c r="U28" s="9">
        <v>-10.069288097532262</v>
      </c>
      <c r="V28" s="9">
        <v>6.899790138802997E-7</v>
      </c>
      <c r="W28" s="9">
        <v>-1088841.5262201626</v>
      </c>
      <c r="X28" s="9">
        <v>-698218.76002983772</v>
      </c>
      <c r="Y28" s="9">
        <v>-1088841.5262201626</v>
      </c>
      <c r="Z28" s="9">
        <v>-698218.76002983772</v>
      </c>
      <c r="AC28" s="9" t="s">
        <v>5</v>
      </c>
      <c r="AD28" s="9">
        <v>-717647.52499999932</v>
      </c>
      <c r="AE28" s="9">
        <v>87024.83692577781</v>
      </c>
      <c r="AF28" s="9">
        <v>-8.2464679090645152</v>
      </c>
      <c r="AG28" s="9">
        <v>2.752177124740359E-6</v>
      </c>
      <c r="AH28" s="9">
        <v>-907258.35619358241</v>
      </c>
      <c r="AI28" s="9">
        <v>-528036.69380641624</v>
      </c>
      <c r="AJ28" s="9">
        <v>-907258.35619358241</v>
      </c>
      <c r="AK28" s="9">
        <v>-528036.69380641624</v>
      </c>
    </row>
    <row r="29" spans="1:37" x14ac:dyDescent="0.3">
      <c r="A29" s="6">
        <v>40969</v>
      </c>
      <c r="C29" s="8">
        <v>28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 t="shared" si="0"/>
        <v>724557.92000000074</v>
      </c>
      <c r="R29" s="9" t="s">
        <v>5</v>
      </c>
      <c r="S29" s="9">
        <v>-688226.84777777805</v>
      </c>
      <c r="T29" s="9">
        <v>87936.368160187732</v>
      </c>
      <c r="U29" s="9">
        <v>-7.8264188318999226</v>
      </c>
      <c r="V29" s="9">
        <v>8.0422129809548703E-6</v>
      </c>
      <c r="W29" s="9">
        <v>-881773.48913070606</v>
      </c>
      <c r="X29" s="9">
        <v>-494680.20642485004</v>
      </c>
      <c r="Y29" s="9">
        <v>-881773.48913070606</v>
      </c>
      <c r="Z29" s="9">
        <v>-494680.20642485004</v>
      </c>
      <c r="AC29" s="9" t="s">
        <v>6</v>
      </c>
      <c r="AD29" s="9">
        <v>-900311.66999999934</v>
      </c>
      <c r="AE29" s="9">
        <v>87024.83692577781</v>
      </c>
      <c r="AF29" s="9">
        <v>-10.345456559348245</v>
      </c>
      <c r="AG29" s="9">
        <v>2.4782753062668961E-7</v>
      </c>
      <c r="AH29" s="9">
        <v>-1089922.5011935823</v>
      </c>
      <c r="AI29" s="9">
        <v>-710700.83880641626</v>
      </c>
      <c r="AJ29" s="9">
        <v>-1089922.5011935823</v>
      </c>
      <c r="AK29" s="9">
        <v>-710700.83880641626</v>
      </c>
    </row>
    <row r="30" spans="1:37" x14ac:dyDescent="0.3">
      <c r="A30" s="6">
        <v>41000</v>
      </c>
      <c r="C30" s="8">
        <v>29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f t="shared" si="0"/>
        <v>541893.77500000072</v>
      </c>
      <c r="R30" s="9" t="s">
        <v>6</v>
      </c>
      <c r="S30" s="9">
        <v>-874568.57743055583</v>
      </c>
      <c r="T30" s="9">
        <v>87222.780210085373</v>
      </c>
      <c r="U30" s="9">
        <v>-10.026836742925003</v>
      </c>
      <c r="V30" s="9">
        <v>7.1975809774767727E-7</v>
      </c>
      <c r="W30" s="9">
        <v>-1066544.6222948884</v>
      </c>
      <c r="X30" s="9">
        <v>-682592.53256622329</v>
      </c>
      <c r="Y30" s="9">
        <v>-1066544.6222948884</v>
      </c>
      <c r="Z30" s="9">
        <v>-682592.53256622329</v>
      </c>
      <c r="AC30" s="9" t="s">
        <v>7</v>
      </c>
      <c r="AD30" s="9">
        <v>-772877.27500000014</v>
      </c>
      <c r="AE30" s="9">
        <v>87024.836925777869</v>
      </c>
      <c r="AF30" s="9">
        <v>-8.8811114424629736</v>
      </c>
      <c r="AG30" s="9">
        <v>1.2702688943838063E-6</v>
      </c>
      <c r="AH30" s="9">
        <v>-962488.10619358334</v>
      </c>
      <c r="AI30" s="9">
        <v>-583266.44380641694</v>
      </c>
      <c r="AJ30" s="9">
        <v>-962488.10619358334</v>
      </c>
      <c r="AK30" s="9">
        <v>-583266.44380641694</v>
      </c>
    </row>
    <row r="31" spans="1:37" x14ac:dyDescent="0.3">
      <c r="A31" s="6">
        <v>41030</v>
      </c>
      <c r="C31" s="8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0"/>
        <v>669328.16999999993</v>
      </c>
      <c r="R31" s="9" t="s">
        <v>7</v>
      </c>
      <c r="S31" s="9">
        <v>-750811.76708333369</v>
      </c>
      <c r="T31" s="9">
        <v>86599.581163151524</v>
      </c>
      <c r="U31" s="9">
        <v>-8.6699237686706869</v>
      </c>
      <c r="V31" s="9">
        <v>3.01671411455481E-6</v>
      </c>
      <c r="W31" s="9">
        <v>-941416.16009358154</v>
      </c>
      <c r="X31" s="9">
        <v>-560207.37407308584</v>
      </c>
      <c r="Y31" s="9">
        <v>-941416.16009358154</v>
      </c>
      <c r="Z31" s="9">
        <v>-560207.37407308584</v>
      </c>
      <c r="AC31" s="9" t="s">
        <v>8</v>
      </c>
      <c r="AD31" s="9">
        <v>-756750.58000000089</v>
      </c>
      <c r="AE31" s="9">
        <v>87024.836925777927</v>
      </c>
      <c r="AF31" s="9">
        <v>-8.6958000351718123</v>
      </c>
      <c r="AG31" s="9">
        <v>1.5850629591149607E-6</v>
      </c>
      <c r="AH31" s="9">
        <v>-946361.41119358421</v>
      </c>
      <c r="AI31" s="9">
        <v>-567139.74880641757</v>
      </c>
      <c r="AJ31" s="9">
        <v>-946361.41119358421</v>
      </c>
      <c r="AK31" s="9">
        <v>-567139.74880641757</v>
      </c>
    </row>
    <row r="32" spans="1:37" x14ac:dyDescent="0.3">
      <c r="A32" s="6">
        <v>41061</v>
      </c>
      <c r="C32" s="8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f t="shared" si="0"/>
        <v>685454.86499999918</v>
      </c>
      <c r="R32" s="9" t="s">
        <v>8</v>
      </c>
      <c r="S32" s="9">
        <v>-738362.65673611138</v>
      </c>
      <c r="T32" s="9">
        <v>86068.734482234053</v>
      </c>
      <c r="U32" s="9">
        <v>-8.5787558185663944</v>
      </c>
      <c r="V32" s="9">
        <v>3.3421043747051102E-6</v>
      </c>
      <c r="W32" s="9">
        <v>-927798.66407937603</v>
      </c>
      <c r="X32" s="9">
        <v>-548926.64939284674</v>
      </c>
      <c r="Y32" s="9">
        <v>-927798.66407937603</v>
      </c>
      <c r="Z32" s="9">
        <v>-548926.64939284674</v>
      </c>
      <c r="AC32" s="9" t="s">
        <v>9</v>
      </c>
      <c r="AD32" s="9">
        <v>-813937.21000000031</v>
      </c>
      <c r="AE32" s="9">
        <v>87024.836925777883</v>
      </c>
      <c r="AF32" s="9">
        <v>-9.3529300226577217</v>
      </c>
      <c r="AG32" s="9">
        <v>7.341756459178439E-7</v>
      </c>
      <c r="AH32" s="9">
        <v>-1003548.0411935835</v>
      </c>
      <c r="AI32" s="9">
        <v>-624326.37880641711</v>
      </c>
      <c r="AJ32" s="9">
        <v>-1003548.0411935835</v>
      </c>
      <c r="AK32" s="9">
        <v>-624326.37880641711</v>
      </c>
    </row>
    <row r="33" spans="1:37" x14ac:dyDescent="0.3">
      <c r="A33" s="6">
        <v>41091</v>
      </c>
      <c r="C33" s="8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f t="shared" si="0"/>
        <v>628268.23499999975</v>
      </c>
      <c r="R33" s="9" t="s">
        <v>9</v>
      </c>
      <c r="S33" s="9">
        <v>-799226.87138888927</v>
      </c>
      <c r="T33" s="9">
        <v>85631.95770737101</v>
      </c>
      <c r="U33" s="9">
        <v>-9.3332780516367144</v>
      </c>
      <c r="V33" s="9">
        <v>1.4665904384171778E-6</v>
      </c>
      <c r="W33" s="9">
        <v>-987701.53953240765</v>
      </c>
      <c r="X33" s="9">
        <v>-610752.20324537088</v>
      </c>
      <c r="Y33" s="9">
        <v>-987701.53953240765</v>
      </c>
      <c r="Z33" s="9">
        <v>-610752.20324537088</v>
      </c>
      <c r="AC33" s="9" t="s">
        <v>10</v>
      </c>
      <c r="AD33" s="9">
        <v>-772477.02000000037</v>
      </c>
      <c r="AE33" s="9">
        <v>87024.836925777883</v>
      </c>
      <c r="AF33" s="9">
        <v>-8.876512123301465</v>
      </c>
      <c r="AG33" s="9">
        <v>1.2772140485658161E-6</v>
      </c>
      <c r="AH33" s="9">
        <v>-962087.85119358357</v>
      </c>
      <c r="AI33" s="9">
        <v>-582866.18880641717</v>
      </c>
      <c r="AJ33" s="9">
        <v>-962087.85119358357</v>
      </c>
      <c r="AK33" s="9">
        <v>-582866.18880641717</v>
      </c>
    </row>
    <row r="34" spans="1:37" x14ac:dyDescent="0.3">
      <c r="A34" s="6">
        <v>41122</v>
      </c>
      <c r="C34" s="8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f t="shared" si="0"/>
        <v>669728.4249999997</v>
      </c>
      <c r="R34" s="9" t="s">
        <v>10</v>
      </c>
      <c r="S34" s="9">
        <v>-761444.26604166673</v>
      </c>
      <c r="T34" s="9">
        <v>85290.696057097986</v>
      </c>
      <c r="U34" s="9">
        <v>-8.9276357356952118</v>
      </c>
      <c r="V34" s="9">
        <v>2.2682865968267787E-6</v>
      </c>
      <c r="W34" s="9">
        <v>-949167.82235722581</v>
      </c>
      <c r="X34" s="9">
        <v>-573720.70972610766</v>
      </c>
      <c r="Y34" s="9">
        <v>-949167.82235722581</v>
      </c>
      <c r="Z34" s="9">
        <v>-573720.70972610766</v>
      </c>
      <c r="AC34" s="9" t="s">
        <v>11</v>
      </c>
      <c r="AD34" s="9">
        <v>-505536.42000000033</v>
      </c>
      <c r="AE34" s="9">
        <v>87024.836925777898</v>
      </c>
      <c r="AF34" s="9">
        <v>-5.8091050538958706</v>
      </c>
      <c r="AG34" s="9">
        <v>8.3536781362869705E-5</v>
      </c>
      <c r="AH34" s="9">
        <v>-695147.25119358359</v>
      </c>
      <c r="AI34" s="9">
        <v>-315925.58880641707</v>
      </c>
      <c r="AJ34" s="9">
        <v>-695147.25119358359</v>
      </c>
      <c r="AK34" s="9">
        <v>-315925.58880641707</v>
      </c>
    </row>
    <row r="35" spans="1:37" ht="15" thickBot="1" x14ac:dyDescent="0.35">
      <c r="A35" s="6">
        <v>41153</v>
      </c>
      <c r="C35" s="8">
        <v>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f t="shared" si="0"/>
        <v>936669.02499999967</v>
      </c>
      <c r="R35" s="9" t="s">
        <v>11</v>
      </c>
      <c r="S35" s="9">
        <v>-498181.25069444434</v>
      </c>
      <c r="T35" s="9">
        <v>85046.099350265285</v>
      </c>
      <c r="U35" s="9">
        <v>-5.8577789516561802</v>
      </c>
      <c r="V35" s="9">
        <v>1.0964084317656646E-4</v>
      </c>
      <c r="W35" s="9">
        <v>-685366.45328805735</v>
      </c>
      <c r="X35" s="9">
        <v>-310996.04810083134</v>
      </c>
      <c r="Y35" s="9">
        <v>-685366.45328805735</v>
      </c>
      <c r="Z35" s="9">
        <v>-310996.04810083134</v>
      </c>
      <c r="AC35" s="10" t="s">
        <v>12</v>
      </c>
      <c r="AD35" s="10">
        <v>-384268.93500000035</v>
      </c>
      <c r="AE35" s="10">
        <v>87024.836925777898</v>
      </c>
      <c r="AF35" s="10">
        <v>-4.4156237296685452</v>
      </c>
      <c r="AG35" s="10">
        <v>8.4201727945635706E-4</v>
      </c>
      <c r="AH35" s="10">
        <v>-573879.76619358361</v>
      </c>
      <c r="AI35" s="10">
        <v>-194658.10380641709</v>
      </c>
      <c r="AJ35" s="10">
        <v>-573879.76619358361</v>
      </c>
      <c r="AK35" s="10">
        <v>-194658.10380641709</v>
      </c>
    </row>
    <row r="36" spans="1:37" ht="15" thickBot="1" x14ac:dyDescent="0.35">
      <c r="A36" s="6">
        <v>41183</v>
      </c>
      <c r="C36" s="8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f t="shared" si="0"/>
        <v>1057936.5099999998</v>
      </c>
      <c r="R36" s="10" t="s">
        <v>12</v>
      </c>
      <c r="S36" s="10">
        <v>-380591.35034722235</v>
      </c>
      <c r="T36" s="10">
        <v>84899.00307524082</v>
      </c>
      <c r="U36" s="10">
        <v>-4.4828718425577669</v>
      </c>
      <c r="V36" s="10">
        <v>9.2700160901661394E-4</v>
      </c>
      <c r="W36" s="10">
        <v>-567452.79622240178</v>
      </c>
      <c r="X36" s="10">
        <v>-193729.90447204295</v>
      </c>
      <c r="Y36" s="10">
        <v>-567452.79622240178</v>
      </c>
      <c r="Z36" s="10">
        <v>-193729.90447204295</v>
      </c>
    </row>
    <row r="37" spans="1:37" x14ac:dyDescent="0.3">
      <c r="A37" s="6">
        <v>41214</v>
      </c>
      <c r="C37" s="8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f t="shared" si="0"/>
        <v>1442205.4450000001</v>
      </c>
    </row>
    <row r="39" spans="1:37" x14ac:dyDescent="0.3">
      <c r="AC39" t="s">
        <v>39</v>
      </c>
    </row>
    <row r="40" spans="1:37" ht="15" thickBot="1" x14ac:dyDescent="0.35">
      <c r="R40" t="s">
        <v>39</v>
      </c>
    </row>
    <row r="41" spans="1:37" ht="15" thickBot="1" x14ac:dyDescent="0.35">
      <c r="AC41" s="11" t="s">
        <v>40</v>
      </c>
      <c r="AD41" s="11" t="s">
        <v>41</v>
      </c>
      <c r="AE41" s="11" t="s">
        <v>42</v>
      </c>
      <c r="AF41" s="11" t="s">
        <v>43</v>
      </c>
    </row>
    <row r="42" spans="1:37" x14ac:dyDescent="0.3">
      <c r="R42" s="11" t="s">
        <v>40</v>
      </c>
      <c r="S42" s="11" t="s">
        <v>41</v>
      </c>
      <c r="T42" s="11" t="s">
        <v>42</v>
      </c>
      <c r="U42" s="11" t="s">
        <v>43</v>
      </c>
      <c r="AC42" s="9">
        <v>1</v>
      </c>
      <c r="AD42" s="9">
        <v>963146.2899999998</v>
      </c>
      <c r="AE42" s="9">
        <v>-163299.17999999982</v>
      </c>
      <c r="AF42" s="9">
        <v>-2.5978500569514784</v>
      </c>
    </row>
    <row r="43" spans="1:37" x14ac:dyDescent="0.3">
      <c r="R43" s="9">
        <v>1</v>
      </c>
      <c r="S43" s="9">
        <v>941080.78208333347</v>
      </c>
      <c r="T43" s="9">
        <v>-141233.67208333348</v>
      </c>
      <c r="U43" s="9">
        <v>-2.4068798898353929</v>
      </c>
      <c r="AC43" s="9">
        <v>2</v>
      </c>
      <c r="AD43" s="9">
        <v>592016.57499999972</v>
      </c>
      <c r="AE43" s="9">
        <v>32016.315000000293</v>
      </c>
      <c r="AF43" s="9">
        <v>0.50933253765344888</v>
      </c>
    </row>
    <row r="44" spans="1:37" x14ac:dyDescent="0.3">
      <c r="R44" s="9">
        <v>2</v>
      </c>
      <c r="S44" s="9">
        <v>569951.0670833328</v>
      </c>
      <c r="T44" s="9">
        <v>54081.82291666721</v>
      </c>
      <c r="U44" s="9">
        <v>0.92165310200927608</v>
      </c>
      <c r="AC44" s="9">
        <v>3</v>
      </c>
      <c r="AD44" s="9">
        <v>515577.03999999946</v>
      </c>
      <c r="AE44" s="9">
        <v>17514.390000000596</v>
      </c>
      <c r="AF44" s="9">
        <v>0.27862821515069458</v>
      </c>
    </row>
    <row r="45" spans="1:37" x14ac:dyDescent="0.3">
      <c r="R45" s="9">
        <v>3</v>
      </c>
      <c r="S45" s="9">
        <v>493511.53208333324</v>
      </c>
      <c r="T45" s="9">
        <v>39579.897916666814</v>
      </c>
      <c r="U45" s="9">
        <v>0.6745137964065222</v>
      </c>
      <c r="AC45" s="9">
        <v>4</v>
      </c>
      <c r="AD45" s="9">
        <v>724557.92000000074</v>
      </c>
      <c r="AE45" s="9">
        <v>41290.839999999269</v>
      </c>
      <c r="AF45" s="9">
        <v>0.6568766055382067</v>
      </c>
    </row>
    <row r="46" spans="1:37" x14ac:dyDescent="0.3">
      <c r="R46" s="9">
        <v>4</v>
      </c>
      <c r="S46" s="9">
        <v>702492.41208333313</v>
      </c>
      <c r="T46" s="9">
        <v>63356.347916666884</v>
      </c>
      <c r="U46" s="9">
        <v>1.0797079580573687</v>
      </c>
      <c r="AC46" s="9">
        <v>5</v>
      </c>
      <c r="AD46" s="9">
        <v>541893.77500000072</v>
      </c>
      <c r="AE46" s="9">
        <v>48686.654999999329</v>
      </c>
      <c r="AF46" s="9">
        <v>0.77453315726708116</v>
      </c>
    </row>
    <row r="47" spans="1:37" x14ac:dyDescent="0.3">
      <c r="R47" s="9">
        <v>5</v>
      </c>
      <c r="S47" s="9">
        <v>519828.26708333311</v>
      </c>
      <c r="T47" s="9">
        <v>70752.162916666945</v>
      </c>
      <c r="U47" s="9">
        <v>1.2057461621900198</v>
      </c>
      <c r="AC47" s="9">
        <v>6</v>
      </c>
      <c r="AD47" s="9">
        <v>669328.16999999993</v>
      </c>
      <c r="AE47" s="9">
        <v>-54005.339999999967</v>
      </c>
      <c r="AF47" s="9">
        <v>-0.85914562213162393</v>
      </c>
    </row>
    <row r="48" spans="1:37" x14ac:dyDescent="0.3">
      <c r="R48" s="9">
        <v>6</v>
      </c>
      <c r="S48" s="9">
        <v>647262.66208333301</v>
      </c>
      <c r="T48" s="9">
        <v>-31939.832083333051</v>
      </c>
      <c r="U48" s="9">
        <v>-0.54431311168298513</v>
      </c>
      <c r="AC48" s="9">
        <v>7</v>
      </c>
      <c r="AD48" s="9">
        <v>685454.86499999918</v>
      </c>
      <c r="AE48" s="9">
        <v>-5668.2549999991897</v>
      </c>
      <c r="AF48" s="9">
        <v>-9.0173610024027157E-2</v>
      </c>
    </row>
    <row r="49" spans="18:32" x14ac:dyDescent="0.3">
      <c r="R49" s="9">
        <v>7</v>
      </c>
      <c r="S49" s="9">
        <v>663389.35708333307</v>
      </c>
      <c r="T49" s="9">
        <v>16397.252916666912</v>
      </c>
      <c r="U49" s="9">
        <v>0.27943915718897183</v>
      </c>
      <c r="AC49" s="9">
        <v>8</v>
      </c>
      <c r="AD49" s="9">
        <v>628268.23499999975</v>
      </c>
      <c r="AE49" s="9">
        <v>-53031.874999999767</v>
      </c>
      <c r="AF49" s="9">
        <v>-0.84365922406342297</v>
      </c>
    </row>
    <row r="50" spans="18:32" x14ac:dyDescent="0.3">
      <c r="R50" s="9">
        <v>8</v>
      </c>
      <c r="S50" s="9">
        <v>606202.72708333319</v>
      </c>
      <c r="T50" s="9">
        <v>-30966.3670833332</v>
      </c>
      <c r="U50" s="9">
        <v>-0.527723488986099</v>
      </c>
      <c r="AC50" s="9">
        <v>9</v>
      </c>
      <c r="AD50" s="9">
        <v>669728.4249999997</v>
      </c>
      <c r="AE50" s="9">
        <v>-12952.08499999973</v>
      </c>
      <c r="AF50" s="9">
        <v>-0.20604864491597402</v>
      </c>
    </row>
    <row r="51" spans="18:32" x14ac:dyDescent="0.3">
      <c r="R51" s="9">
        <v>9</v>
      </c>
      <c r="S51" s="9">
        <v>647662.91708333348</v>
      </c>
      <c r="T51" s="9">
        <v>9113.4229166664882</v>
      </c>
      <c r="U51" s="9">
        <v>0.15530938211920958</v>
      </c>
      <c r="AC51" s="9">
        <v>10</v>
      </c>
      <c r="AD51" s="9">
        <v>936669.02499999967</v>
      </c>
      <c r="AE51" s="9">
        <v>-83018.594999999623</v>
      </c>
      <c r="AF51" s="9">
        <v>-1.3207038868705954</v>
      </c>
    </row>
    <row r="52" spans="18:32" x14ac:dyDescent="0.3">
      <c r="R52" s="9">
        <v>10</v>
      </c>
      <c r="S52" s="9">
        <v>914603.51708333357</v>
      </c>
      <c r="T52" s="9">
        <v>-60953.087083333521</v>
      </c>
      <c r="U52" s="9">
        <v>-1.0387520012769906</v>
      </c>
      <c r="AC52" s="9">
        <v>11</v>
      </c>
      <c r="AD52" s="9">
        <v>1057936.5099999998</v>
      </c>
      <c r="AE52" s="9">
        <v>-12768.1599999998</v>
      </c>
      <c r="AF52" s="9">
        <v>-0.20312266836346091</v>
      </c>
    </row>
    <row r="53" spans="18:32" x14ac:dyDescent="0.3">
      <c r="R53" s="9">
        <v>11</v>
      </c>
      <c r="S53" s="9">
        <v>1035871.0020833334</v>
      </c>
      <c r="T53" s="9">
        <v>9297.3479166665347</v>
      </c>
      <c r="U53" s="9">
        <v>0.15844380025907698</v>
      </c>
      <c r="AC53" s="9">
        <v>12</v>
      </c>
      <c r="AD53" s="9">
        <v>1442205.4450000001</v>
      </c>
      <c r="AE53" s="9">
        <v>-19550.805000000168</v>
      </c>
      <c r="AF53" s="9">
        <v>-0.31102458617794493</v>
      </c>
    </row>
    <row r="54" spans="18:32" x14ac:dyDescent="0.3">
      <c r="R54" s="9">
        <v>12</v>
      </c>
      <c r="S54" s="9">
        <v>1420139.9370833335</v>
      </c>
      <c r="T54" s="9">
        <v>2514.7029166663997</v>
      </c>
      <c r="U54" s="9">
        <v>4.285513355103801E-2</v>
      </c>
      <c r="AC54" s="9">
        <v>13</v>
      </c>
      <c r="AD54" s="9">
        <v>963146.2899999998</v>
      </c>
      <c r="AE54" s="9">
        <v>163299.18000000017</v>
      </c>
      <c r="AF54" s="9">
        <v>2.5978500569514842</v>
      </c>
    </row>
    <row r="55" spans="18:32" x14ac:dyDescent="0.3">
      <c r="R55" s="9">
        <v>13</v>
      </c>
      <c r="S55" s="9">
        <v>985211.79791666684</v>
      </c>
      <c r="T55" s="9">
        <v>141233.67208333313</v>
      </c>
      <c r="U55" s="9">
        <v>2.4068798898353867</v>
      </c>
      <c r="AC55" s="9">
        <v>14</v>
      </c>
      <c r="AD55" s="9">
        <v>592016.57499999972</v>
      </c>
      <c r="AE55" s="9">
        <v>-32016.314999999711</v>
      </c>
      <c r="AF55" s="9">
        <v>-0.50933253765343967</v>
      </c>
    </row>
    <row r="56" spans="18:32" x14ac:dyDescent="0.3">
      <c r="R56" s="9">
        <v>14</v>
      </c>
      <c r="S56" s="9">
        <v>614082.08291666617</v>
      </c>
      <c r="T56" s="9">
        <v>-54081.822916666162</v>
      </c>
      <c r="U56" s="9">
        <v>-0.92165310200925821</v>
      </c>
      <c r="AC56" s="9">
        <v>15</v>
      </c>
      <c r="AD56" s="9">
        <v>515577.03999999946</v>
      </c>
      <c r="AE56" s="9">
        <v>-17514.389999999432</v>
      </c>
      <c r="AF56" s="9">
        <v>-0.2786282151506761</v>
      </c>
    </row>
    <row r="57" spans="18:32" x14ac:dyDescent="0.3">
      <c r="R57" s="9">
        <v>15</v>
      </c>
      <c r="S57" s="9">
        <v>537642.5479166666</v>
      </c>
      <c r="T57" s="9">
        <v>-39579.897916666581</v>
      </c>
      <c r="U57" s="9">
        <v>-0.67451379640651821</v>
      </c>
      <c r="AC57" s="9">
        <v>16</v>
      </c>
      <c r="AD57" s="9">
        <v>724557.92000000074</v>
      </c>
      <c r="AE57" s="9">
        <v>-41290.840000000782</v>
      </c>
      <c r="AF57" s="9">
        <v>-0.6568766055382308</v>
      </c>
    </row>
    <row r="58" spans="18:32" x14ac:dyDescent="0.3">
      <c r="R58" s="9">
        <v>16</v>
      </c>
      <c r="S58" s="9">
        <v>746623.42791666649</v>
      </c>
      <c r="T58" s="9">
        <v>-63356.347916666535</v>
      </c>
      <c r="U58" s="9">
        <v>-1.079707958057363</v>
      </c>
      <c r="AC58" s="9">
        <v>17</v>
      </c>
      <c r="AD58" s="9">
        <v>541893.77500000072</v>
      </c>
      <c r="AE58" s="9">
        <v>-48686.655000000726</v>
      </c>
      <c r="AF58" s="9">
        <v>-0.77453315726710337</v>
      </c>
    </row>
    <row r="59" spans="18:32" x14ac:dyDescent="0.3">
      <c r="R59" s="9">
        <v>17</v>
      </c>
      <c r="S59" s="9">
        <v>563959.28291666647</v>
      </c>
      <c r="T59" s="9">
        <v>-70752.162916666479</v>
      </c>
      <c r="U59" s="9">
        <v>-1.2057461621900121</v>
      </c>
      <c r="AC59" s="9">
        <v>18</v>
      </c>
      <c r="AD59" s="9">
        <v>669328.16999999993</v>
      </c>
      <c r="AE59" s="9">
        <v>54005.340000000084</v>
      </c>
      <c r="AF59" s="9">
        <v>0.85914562213162571</v>
      </c>
    </row>
    <row r="60" spans="18:32" x14ac:dyDescent="0.3">
      <c r="R60" s="9">
        <v>18</v>
      </c>
      <c r="S60" s="9">
        <v>691393.67791666638</v>
      </c>
      <c r="T60" s="9">
        <v>31939.832083333633</v>
      </c>
      <c r="U60" s="9">
        <v>0.54431311168299501</v>
      </c>
      <c r="AC60" s="9">
        <v>19</v>
      </c>
      <c r="AD60" s="9">
        <v>685454.86499999918</v>
      </c>
      <c r="AE60" s="9">
        <v>5668.2550000008196</v>
      </c>
      <c r="AF60" s="9">
        <v>9.017361002405308E-2</v>
      </c>
    </row>
    <row r="61" spans="18:32" x14ac:dyDescent="0.3">
      <c r="R61" s="9">
        <v>19</v>
      </c>
      <c r="S61" s="9">
        <v>707520.37291666644</v>
      </c>
      <c r="T61" s="9">
        <v>-16397.252916666446</v>
      </c>
      <c r="U61" s="9">
        <v>-0.27943915718896389</v>
      </c>
      <c r="AC61" s="9">
        <v>20</v>
      </c>
      <c r="AD61" s="9">
        <v>628268.23499999975</v>
      </c>
      <c r="AE61" s="9">
        <v>53031.875000000233</v>
      </c>
      <c r="AF61" s="9">
        <v>0.84365922406343041</v>
      </c>
    </row>
    <row r="62" spans="18:32" x14ac:dyDescent="0.3">
      <c r="R62" s="9">
        <v>20</v>
      </c>
      <c r="S62" s="9">
        <v>650333.74291666632</v>
      </c>
      <c r="T62" s="9">
        <v>30966.367083333666</v>
      </c>
      <c r="U62" s="9">
        <v>0.52772348898610688</v>
      </c>
      <c r="AC62" s="9">
        <v>21</v>
      </c>
      <c r="AD62" s="9">
        <v>669728.4249999997</v>
      </c>
      <c r="AE62" s="9">
        <v>12952.085000000312</v>
      </c>
      <c r="AF62" s="9">
        <v>0.20604864491598329</v>
      </c>
    </row>
    <row r="63" spans="18:32" x14ac:dyDescent="0.3">
      <c r="R63" s="9">
        <v>21</v>
      </c>
      <c r="S63" s="9">
        <v>691793.93291666661</v>
      </c>
      <c r="T63" s="9">
        <v>-9113.4229166666046</v>
      </c>
      <c r="U63" s="9">
        <v>-0.15530938211921155</v>
      </c>
      <c r="AC63" s="9">
        <v>22</v>
      </c>
      <c r="AD63" s="9">
        <v>936669.02499999967</v>
      </c>
      <c r="AE63" s="9">
        <v>83018.595000000321</v>
      </c>
      <c r="AF63" s="9">
        <v>1.3207038868706065</v>
      </c>
    </row>
    <row r="64" spans="18:32" x14ac:dyDescent="0.3">
      <c r="R64" s="9">
        <v>22</v>
      </c>
      <c r="S64" s="9">
        <v>958734.53291666694</v>
      </c>
      <c r="T64" s="9">
        <v>60953.087083333055</v>
      </c>
      <c r="U64" s="9">
        <v>1.0387520012769826</v>
      </c>
      <c r="AC64" s="9">
        <v>23</v>
      </c>
      <c r="AD64" s="9">
        <v>1057936.5099999998</v>
      </c>
      <c r="AE64" s="9">
        <v>12768.160000000149</v>
      </c>
      <c r="AF64" s="9">
        <v>0.20312266836346646</v>
      </c>
    </row>
    <row r="65" spans="18:32" ht="15" thickBot="1" x14ac:dyDescent="0.35">
      <c r="R65" s="9">
        <v>23</v>
      </c>
      <c r="S65" s="9">
        <v>1080002.0179166668</v>
      </c>
      <c r="T65" s="9">
        <v>-9297.347916666884</v>
      </c>
      <c r="U65" s="9">
        <v>-0.15844380025908295</v>
      </c>
      <c r="AC65" s="10">
        <v>24</v>
      </c>
      <c r="AD65" s="10">
        <v>1442205.4450000001</v>
      </c>
      <c r="AE65" s="10">
        <v>19550.804999999935</v>
      </c>
      <c r="AF65" s="10">
        <v>0.31102458617794126</v>
      </c>
    </row>
    <row r="66" spans="18:32" ht="15" thickBot="1" x14ac:dyDescent="0.35">
      <c r="R66" s="10">
        <v>24</v>
      </c>
      <c r="S66" s="10">
        <v>1464270.9529166669</v>
      </c>
      <c r="T66" s="10">
        <v>-2514.7029166668653</v>
      </c>
      <c r="U66" s="10">
        <v>-4.2855133551045949E-2</v>
      </c>
    </row>
  </sheetData>
  <pageMargins left="0.7" right="0.7" top="0.75" bottom="0.75" header="0.3" footer="0.3"/>
  <ignoredErrors>
    <ignoredError sqref="P2:P37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2376-DF96-4B85-BA0A-0686E7060575}">
  <dimension ref="A1:V30"/>
  <sheetViews>
    <sheetView workbookViewId="0">
      <selection activeCell="K25" sqref="K25"/>
    </sheetView>
  </sheetViews>
  <sheetFormatPr defaultRowHeight="14.4" x14ac:dyDescent="0.3"/>
  <cols>
    <col min="1" max="1" width="10.77734375" bestFit="1" customWidth="1"/>
    <col min="2" max="2" width="11" bestFit="1" customWidth="1"/>
    <col min="4" max="4" width="13.6640625" bestFit="1" customWidth="1"/>
    <col min="6" max="6" width="11" bestFit="1" customWidth="1"/>
    <col min="8" max="8" width="11" bestFit="1" customWidth="1"/>
    <col min="10" max="10" width="12" bestFit="1" customWidth="1"/>
  </cols>
  <sheetData>
    <row r="1" spans="1:22" x14ac:dyDescent="0.3">
      <c r="A1" s="6" t="s">
        <v>0</v>
      </c>
      <c r="B1" s="7" t="s">
        <v>1</v>
      </c>
      <c r="C1" t="s">
        <v>49</v>
      </c>
      <c r="D1" t="s">
        <v>56</v>
      </c>
      <c r="E1" t="s">
        <v>50</v>
      </c>
      <c r="G1" t="s">
        <v>51</v>
      </c>
      <c r="I1" t="s">
        <v>52</v>
      </c>
      <c r="J1" t="s">
        <v>54</v>
      </c>
      <c r="U1" s="13" t="s">
        <v>53</v>
      </c>
      <c r="V1" s="13">
        <v>1</v>
      </c>
    </row>
    <row r="2" spans="1:22" x14ac:dyDescent="0.3">
      <c r="A2" s="6">
        <v>40148</v>
      </c>
      <c r="B2" s="8">
        <v>799847.11</v>
      </c>
      <c r="I2" s="8">
        <v>799847.11</v>
      </c>
      <c r="J2">
        <f>(B2-I2)^2</f>
        <v>0</v>
      </c>
    </row>
    <row r="3" spans="1:22" x14ac:dyDescent="0.3">
      <c r="A3" s="6">
        <v>40179</v>
      </c>
      <c r="B3" s="8">
        <v>624032.89</v>
      </c>
      <c r="C3">
        <f>B2</f>
        <v>799847.11</v>
      </c>
      <c r="D3">
        <f>(B3-C3)^2</f>
        <v>30910639954.208389</v>
      </c>
      <c r="E3">
        <f>AVERAGE($B$2:B3)</f>
        <v>711940</v>
      </c>
      <c r="F3">
        <f>(B3-E3)^2</f>
        <v>7727659988.5520973</v>
      </c>
      <c r="I3">
        <f>$V$1*B2+(1-$V$1)*I2</f>
        <v>799847.11</v>
      </c>
      <c r="J3">
        <f t="shared" ref="J3:J26" si="0">(B3-I3)^2</f>
        <v>30910639954.208389</v>
      </c>
    </row>
    <row r="4" spans="1:22" x14ac:dyDescent="0.3">
      <c r="A4" s="6">
        <v>40210</v>
      </c>
      <c r="B4" s="8">
        <v>533091.43000000005</v>
      </c>
      <c r="C4">
        <f t="shared" ref="C4:C26" si="1">B3</f>
        <v>624032.89</v>
      </c>
      <c r="D4">
        <f t="shared" ref="D4:D26" si="2">(B4-C4)^2</f>
        <v>8270349146.9315929</v>
      </c>
      <c r="E4">
        <f>AVERAGE($B$2:B4)</f>
        <v>652323.81000000006</v>
      </c>
      <c r="F4">
        <f t="shared" ref="F4:F26" si="3">(B4-E4)^2</f>
        <v>14216360440.464401</v>
      </c>
      <c r="I4">
        <f>$V$1*B3+(1-$V$1)*I3</f>
        <v>624032.89</v>
      </c>
      <c r="J4">
        <f t="shared" si="0"/>
        <v>8270349146.9315929</v>
      </c>
    </row>
    <row r="5" spans="1:22" x14ac:dyDescent="0.3">
      <c r="A5" s="6">
        <v>40238</v>
      </c>
      <c r="B5" s="8">
        <v>765848.76</v>
      </c>
      <c r="C5">
        <f t="shared" si="1"/>
        <v>533091.43000000005</v>
      </c>
      <c r="D5">
        <f t="shared" si="2"/>
        <v>54175974668.728882</v>
      </c>
      <c r="E5">
        <f>AVERAGE($B$2:B5)</f>
        <v>680705.0475000001</v>
      </c>
      <c r="F5">
        <f t="shared" si="3"/>
        <v>7249451778.2826405</v>
      </c>
      <c r="I5">
        <f t="shared" ref="I4:I26" si="4">$V$1*B4+(1-$V$1)*I4</f>
        <v>533091.43000000005</v>
      </c>
      <c r="J5">
        <f t="shared" si="0"/>
        <v>54175974668.728882</v>
      </c>
    </row>
    <row r="6" spans="1:22" x14ac:dyDescent="0.3">
      <c r="A6" s="6">
        <v>40269</v>
      </c>
      <c r="B6" s="8">
        <v>590580.43000000005</v>
      </c>
      <c r="C6">
        <f t="shared" si="1"/>
        <v>765848.76</v>
      </c>
      <c r="D6">
        <f t="shared" si="2"/>
        <v>30718987500.988884</v>
      </c>
      <c r="E6">
        <f>AVERAGE($B$2:B6)</f>
        <v>662680.12400000007</v>
      </c>
      <c r="F6">
        <f t="shared" si="3"/>
        <v>5198365874.8936386</v>
      </c>
      <c r="G6">
        <f>AVERAGE(B2:B6)</f>
        <v>662680.12400000007</v>
      </c>
      <c r="H6">
        <f>(B6-G6)^2</f>
        <v>5198365874.8936386</v>
      </c>
      <c r="I6">
        <f t="shared" si="4"/>
        <v>765848.76</v>
      </c>
      <c r="J6">
        <f t="shared" si="0"/>
        <v>30718987500.988884</v>
      </c>
    </row>
    <row r="7" spans="1:22" x14ac:dyDescent="0.3">
      <c r="A7" s="6">
        <v>40299</v>
      </c>
      <c r="B7" s="8">
        <v>615322.82999999996</v>
      </c>
      <c r="C7">
        <f t="shared" si="1"/>
        <v>590580.43000000005</v>
      </c>
      <c r="D7">
        <f t="shared" si="2"/>
        <v>612186357.75999534</v>
      </c>
      <c r="E7">
        <f>AVERAGE($B$2:B7)</f>
        <v>654787.24166666681</v>
      </c>
      <c r="F7">
        <f t="shared" si="3"/>
        <v>1557439788.196151</v>
      </c>
      <c r="G7">
        <f>AVERAGE(B3:B7)</f>
        <v>625775.26800000004</v>
      </c>
      <c r="H7">
        <f t="shared" ref="H7:H26" si="5">(B7-G7)^2</f>
        <v>109253460.14384571</v>
      </c>
      <c r="I7">
        <f t="shared" si="4"/>
        <v>590580.43000000005</v>
      </c>
      <c r="J7">
        <f t="shared" si="0"/>
        <v>612186357.75999534</v>
      </c>
    </row>
    <row r="8" spans="1:22" x14ac:dyDescent="0.3">
      <c r="A8" s="6">
        <v>40330</v>
      </c>
      <c r="B8" s="8">
        <v>679786.61</v>
      </c>
      <c r="C8">
        <f t="shared" si="1"/>
        <v>615322.82999999996</v>
      </c>
      <c r="D8">
        <f t="shared" si="2"/>
        <v>4155578931.8884034</v>
      </c>
      <c r="E8">
        <f>AVERAGE($B$2:B8)</f>
        <v>658358.58000000007</v>
      </c>
      <c r="F8">
        <f t="shared" si="3"/>
        <v>459160469.68089622</v>
      </c>
      <c r="G8">
        <f t="shared" ref="G7:G26" si="6">AVERAGE(B4:B8)</f>
        <v>636926.01199999999</v>
      </c>
      <c r="H8">
        <f t="shared" si="5"/>
        <v>1837030860.9176037</v>
      </c>
      <c r="I8">
        <f t="shared" si="4"/>
        <v>615322.82999999996</v>
      </c>
      <c r="J8">
        <f t="shared" si="0"/>
        <v>4155578931.8884034</v>
      </c>
    </row>
    <row r="9" spans="1:22" x14ac:dyDescent="0.3">
      <c r="A9" s="6">
        <v>40360</v>
      </c>
      <c r="B9" s="8">
        <v>575236.36</v>
      </c>
      <c r="C9">
        <f t="shared" si="1"/>
        <v>679786.61</v>
      </c>
      <c r="D9">
        <f t="shared" si="2"/>
        <v>10930754775.0625</v>
      </c>
      <c r="E9">
        <f>AVERAGE($B$2:B9)</f>
        <v>647968.30250000011</v>
      </c>
      <c r="F9">
        <f t="shared" si="3"/>
        <v>5289935459.8233242</v>
      </c>
      <c r="G9">
        <f t="shared" si="6"/>
        <v>645354.99799999991</v>
      </c>
      <c r="H9">
        <f t="shared" si="5"/>
        <v>4916623394.9750328</v>
      </c>
      <c r="I9">
        <f t="shared" si="4"/>
        <v>679786.61</v>
      </c>
      <c r="J9">
        <f t="shared" si="0"/>
        <v>10930754775.0625</v>
      </c>
    </row>
    <row r="10" spans="1:22" x14ac:dyDescent="0.3">
      <c r="A10" s="6">
        <v>40391</v>
      </c>
      <c r="B10" s="8">
        <v>656776.34</v>
      </c>
      <c r="C10">
        <f t="shared" si="1"/>
        <v>575236.36</v>
      </c>
      <c r="D10">
        <f t="shared" si="2"/>
        <v>6648768338.4003973</v>
      </c>
      <c r="E10">
        <f>AVERAGE($B$2:B10)</f>
        <v>648946.97333333339</v>
      </c>
      <c r="F10">
        <f t="shared" si="3"/>
        <v>61298982.401109777</v>
      </c>
      <c r="G10">
        <f t="shared" si="6"/>
        <v>623540.51399999997</v>
      </c>
      <c r="H10">
        <f t="shared" si="5"/>
        <v>1104620129.902276</v>
      </c>
      <c r="I10">
        <f t="shared" si="4"/>
        <v>575236.36</v>
      </c>
      <c r="J10">
        <f t="shared" si="0"/>
        <v>6648768338.4003973</v>
      </c>
    </row>
    <row r="11" spans="1:22" x14ac:dyDescent="0.3">
      <c r="A11" s="6">
        <v>40422</v>
      </c>
      <c r="B11" s="8">
        <v>853650.43</v>
      </c>
      <c r="C11">
        <f t="shared" si="1"/>
        <v>656776.34</v>
      </c>
      <c r="D11">
        <f t="shared" si="2"/>
        <v>38759407313.328133</v>
      </c>
      <c r="E11">
        <f>AVERAGE($B$2:B11)</f>
        <v>669417.31900000002</v>
      </c>
      <c r="F11">
        <f t="shared" si="3"/>
        <v>33941839188.738335</v>
      </c>
      <c r="G11">
        <f t="shared" si="6"/>
        <v>676154.51399999997</v>
      </c>
      <c r="H11">
        <f t="shared" si="5"/>
        <v>31504800196.679085</v>
      </c>
      <c r="I11">
        <f t="shared" si="4"/>
        <v>656776.34</v>
      </c>
      <c r="J11">
        <f t="shared" si="0"/>
        <v>38759407313.328133</v>
      </c>
    </row>
    <row r="12" spans="1:22" x14ac:dyDescent="0.3">
      <c r="A12" s="6">
        <v>40452</v>
      </c>
      <c r="B12" s="8">
        <v>1045168.35</v>
      </c>
      <c r="C12">
        <f t="shared" si="1"/>
        <v>853650.43</v>
      </c>
      <c r="D12">
        <f t="shared" si="2"/>
        <v>36679113681.126373</v>
      </c>
      <c r="E12">
        <f>AVERAGE($B$2:B12)</f>
        <v>703576.50363636366</v>
      </c>
      <c r="F12">
        <f t="shared" si="3"/>
        <v>116684989502.11812</v>
      </c>
      <c r="G12">
        <f t="shared" si="6"/>
        <v>762123.61800000002</v>
      </c>
      <c r="H12">
        <f t="shared" si="5"/>
        <v>80114320312.951797</v>
      </c>
      <c r="I12">
        <f t="shared" si="4"/>
        <v>853650.43</v>
      </c>
      <c r="J12">
        <f t="shared" si="0"/>
        <v>36679113681.126373</v>
      </c>
    </row>
    <row r="13" spans="1:22" x14ac:dyDescent="0.3">
      <c r="A13" s="6">
        <v>40483</v>
      </c>
      <c r="B13" s="8">
        <v>1422654.64</v>
      </c>
      <c r="C13">
        <f t="shared" si="1"/>
        <v>1045168.35</v>
      </c>
      <c r="D13">
        <f t="shared" si="2"/>
        <v>142495899137.96405</v>
      </c>
      <c r="E13">
        <f>AVERAGE($B$2:B13)</f>
        <v>763499.68166666664</v>
      </c>
      <c r="F13">
        <f t="shared" si="3"/>
        <v>434485259095.41827</v>
      </c>
      <c r="G13">
        <f t="shared" si="6"/>
        <v>910697.22400000005</v>
      </c>
      <c r="H13">
        <f t="shared" si="5"/>
        <v>262100395797.39691</v>
      </c>
      <c r="I13">
        <f t="shared" si="4"/>
        <v>1045168.35</v>
      </c>
      <c r="J13">
        <f t="shared" si="0"/>
        <v>142495899137.96405</v>
      </c>
    </row>
    <row r="14" spans="1:22" x14ac:dyDescent="0.3">
      <c r="A14" s="6">
        <v>40513</v>
      </c>
      <c r="B14" s="8">
        <v>1126445.47</v>
      </c>
      <c r="C14">
        <f t="shared" si="1"/>
        <v>1422654.64</v>
      </c>
      <c r="D14">
        <f t="shared" si="2"/>
        <v>87739872392.088852</v>
      </c>
      <c r="E14">
        <f>AVERAGE($B$2:B14)</f>
        <v>791418.58846153854</v>
      </c>
      <c r="F14">
        <f t="shared" si="3"/>
        <v>112243011353.38626</v>
      </c>
      <c r="G14">
        <f t="shared" si="6"/>
        <v>1020939.0459999999</v>
      </c>
      <c r="H14">
        <f t="shared" si="5"/>
        <v>11131605505.267801</v>
      </c>
      <c r="I14">
        <f t="shared" si="4"/>
        <v>1422654.64</v>
      </c>
      <c r="J14">
        <f t="shared" si="0"/>
        <v>87739872392.088852</v>
      </c>
    </row>
    <row r="15" spans="1:22" x14ac:dyDescent="0.3">
      <c r="A15" s="6">
        <v>40544</v>
      </c>
      <c r="B15" s="8">
        <v>560000.26</v>
      </c>
      <c r="C15">
        <f t="shared" si="1"/>
        <v>1126445.47</v>
      </c>
      <c r="D15">
        <f t="shared" si="2"/>
        <v>320860175931.94403</v>
      </c>
      <c r="E15">
        <f>AVERAGE($B$2:B15)</f>
        <v>774888.7078571429</v>
      </c>
      <c r="F15">
        <f t="shared" si="3"/>
        <v>46177045022.452019</v>
      </c>
      <c r="G15">
        <f t="shared" si="6"/>
        <v>1001583.8299999998</v>
      </c>
      <c r="H15">
        <f t="shared" si="5"/>
        <v>194996049293.94476</v>
      </c>
      <c r="I15">
        <f t="shared" si="4"/>
        <v>1126445.47</v>
      </c>
      <c r="J15">
        <f t="shared" si="0"/>
        <v>320860175931.94403</v>
      </c>
    </row>
    <row r="16" spans="1:22" x14ac:dyDescent="0.3">
      <c r="A16" s="6">
        <v>40575</v>
      </c>
      <c r="B16" s="8">
        <v>498062.65</v>
      </c>
      <c r="C16">
        <f t="shared" si="1"/>
        <v>560000.26</v>
      </c>
      <c r="D16">
        <f t="shared" si="2"/>
        <v>3836267532.5120983</v>
      </c>
      <c r="E16">
        <f>AVERAGE($B$2:B16)</f>
        <v>756433.63733333338</v>
      </c>
      <c r="F16">
        <f t="shared" si="3"/>
        <v>66755567095.601501</v>
      </c>
      <c r="G16">
        <f t="shared" si="6"/>
        <v>930466.27399999998</v>
      </c>
      <c r="H16">
        <f t="shared" si="5"/>
        <v>186972894048.33334</v>
      </c>
      <c r="I16">
        <f t="shared" si="4"/>
        <v>560000.26</v>
      </c>
      <c r="J16">
        <f t="shared" si="0"/>
        <v>3836267532.5120983</v>
      </c>
    </row>
    <row r="17" spans="1:10" x14ac:dyDescent="0.3">
      <c r="A17" s="6">
        <v>40603</v>
      </c>
      <c r="B17" s="8">
        <v>683267.08</v>
      </c>
      <c r="C17">
        <f t="shared" si="1"/>
        <v>498062.65</v>
      </c>
      <c r="D17">
        <f t="shared" si="2"/>
        <v>34300680891.624874</v>
      </c>
      <c r="E17">
        <f>AVERAGE($B$2:B17)</f>
        <v>751860.72750000004</v>
      </c>
      <c r="F17">
        <f t="shared" si="3"/>
        <v>4705088477.3542671</v>
      </c>
      <c r="G17">
        <f t="shared" si="6"/>
        <v>858086.0199999999</v>
      </c>
      <c r="H17">
        <f t="shared" si="5"/>
        <v>30561661782.723579</v>
      </c>
      <c r="I17">
        <f t="shared" si="4"/>
        <v>498062.65</v>
      </c>
      <c r="J17">
        <f t="shared" si="0"/>
        <v>34300680891.624874</v>
      </c>
    </row>
    <row r="18" spans="1:10" x14ac:dyDescent="0.3">
      <c r="A18" s="6">
        <v>40634</v>
      </c>
      <c r="B18" s="8">
        <v>493207.12</v>
      </c>
      <c r="C18">
        <f t="shared" si="1"/>
        <v>683267.08</v>
      </c>
      <c r="D18">
        <f t="shared" si="2"/>
        <v>36122788395.201584</v>
      </c>
      <c r="E18">
        <f>AVERAGE($B$2:B18)</f>
        <v>736645.80941176473</v>
      </c>
      <c r="F18">
        <f t="shared" si="3"/>
        <v>59262395502.517654</v>
      </c>
      <c r="G18">
        <f t="shared" si="6"/>
        <v>672196.51600000006</v>
      </c>
      <c r="H18">
        <f t="shared" si="5"/>
        <v>32037203880.444839</v>
      </c>
      <c r="I18">
        <f t="shared" si="4"/>
        <v>683267.08</v>
      </c>
      <c r="J18">
        <f t="shared" si="0"/>
        <v>36122788395.201584</v>
      </c>
    </row>
    <row r="19" spans="1:10" x14ac:dyDescent="0.3">
      <c r="A19" s="6">
        <v>40664</v>
      </c>
      <c r="B19" s="8">
        <v>723333.51</v>
      </c>
      <c r="C19">
        <f t="shared" si="1"/>
        <v>493207.12</v>
      </c>
      <c r="D19">
        <f t="shared" si="2"/>
        <v>52958155374.432106</v>
      </c>
      <c r="E19">
        <f>AVERAGE($B$2:B19)</f>
        <v>735906.23722222215</v>
      </c>
      <c r="F19">
        <f t="shared" si="3"/>
        <v>158073469.80440557</v>
      </c>
      <c r="G19">
        <f t="shared" si="6"/>
        <v>591574.12400000007</v>
      </c>
      <c r="H19">
        <f t="shared" si="5"/>
        <v>17360535799.096981</v>
      </c>
      <c r="I19">
        <f t="shared" si="4"/>
        <v>493207.12</v>
      </c>
      <c r="J19">
        <f t="shared" si="0"/>
        <v>52958155374.432106</v>
      </c>
    </row>
    <row r="20" spans="1:10" x14ac:dyDescent="0.3">
      <c r="A20" s="6">
        <v>40695</v>
      </c>
      <c r="B20" s="8">
        <v>691123.12</v>
      </c>
      <c r="C20">
        <f t="shared" si="1"/>
        <v>723333.51</v>
      </c>
      <c r="D20">
        <f t="shared" si="2"/>
        <v>1037509223.9521009</v>
      </c>
      <c r="E20">
        <f>AVERAGE($B$2:B20)</f>
        <v>733549.23105263151</v>
      </c>
      <c r="F20">
        <f t="shared" si="3"/>
        <v>1799974899.0502222</v>
      </c>
      <c r="G20">
        <f t="shared" si="6"/>
        <v>617798.69600000011</v>
      </c>
      <c r="H20">
        <f t="shared" si="5"/>
        <v>5376471154.9317589</v>
      </c>
      <c r="I20">
        <f t="shared" si="4"/>
        <v>723333.51</v>
      </c>
      <c r="J20">
        <f t="shared" si="0"/>
        <v>1037509223.9521009</v>
      </c>
    </row>
    <row r="21" spans="1:10" x14ac:dyDescent="0.3">
      <c r="A21" s="6">
        <v>40725</v>
      </c>
      <c r="B21" s="8">
        <v>681300.11</v>
      </c>
      <c r="C21">
        <f t="shared" si="1"/>
        <v>691123.12</v>
      </c>
      <c r="D21">
        <f t="shared" si="2"/>
        <v>96491525.460100189</v>
      </c>
      <c r="E21">
        <f>AVERAGE($B$2:B21)</f>
        <v>730936.77499999991</v>
      </c>
      <c r="F21">
        <f t="shared" si="3"/>
        <v>2463798512.322217</v>
      </c>
      <c r="G21">
        <f t="shared" si="6"/>
        <v>654446.18799999997</v>
      </c>
      <c r="H21">
        <f t="shared" si="5"/>
        <v>721133126.78208506</v>
      </c>
      <c r="I21">
        <f t="shared" si="4"/>
        <v>691123.12</v>
      </c>
      <c r="J21">
        <f t="shared" si="0"/>
        <v>96491525.460100189</v>
      </c>
    </row>
    <row r="22" spans="1:10" x14ac:dyDescent="0.3">
      <c r="A22" s="6">
        <v>40756</v>
      </c>
      <c r="B22" s="8">
        <v>682680.51</v>
      </c>
      <c r="C22">
        <f t="shared" si="1"/>
        <v>681300.11</v>
      </c>
      <c r="D22">
        <f t="shared" si="2"/>
        <v>1905504.1600000642</v>
      </c>
      <c r="E22">
        <f>AVERAGE($B$2:B22)</f>
        <v>728638.85761904751</v>
      </c>
      <c r="F22">
        <f t="shared" si="3"/>
        <v>2112169715.8732095</v>
      </c>
      <c r="G22">
        <f t="shared" si="6"/>
        <v>654328.87400000007</v>
      </c>
      <c r="H22">
        <f t="shared" si="5"/>
        <v>803815263.87649262</v>
      </c>
      <c r="I22">
        <f t="shared" si="4"/>
        <v>681300.11</v>
      </c>
      <c r="J22">
        <f t="shared" si="0"/>
        <v>1905504.1600000642</v>
      </c>
    </row>
    <row r="23" spans="1:10" x14ac:dyDescent="0.3">
      <c r="A23" s="6">
        <v>40787</v>
      </c>
      <c r="B23" s="8">
        <v>1019687.62</v>
      </c>
      <c r="C23">
        <f t="shared" si="1"/>
        <v>682680.51</v>
      </c>
      <c r="D23">
        <f t="shared" si="2"/>
        <v>113573792190.55209</v>
      </c>
      <c r="E23">
        <f>AVERAGE($B$2:B23)</f>
        <v>741868.34681818169</v>
      </c>
      <c r="F23">
        <f t="shared" si="3"/>
        <v>77183548551.273788</v>
      </c>
      <c r="G23">
        <f t="shared" si="6"/>
        <v>759624.97400000005</v>
      </c>
      <c r="H23">
        <f t="shared" si="5"/>
        <v>67632579844.521294</v>
      </c>
      <c r="I23">
        <f t="shared" si="4"/>
        <v>682680.51</v>
      </c>
      <c r="J23">
        <f t="shared" si="0"/>
        <v>113573792190.55209</v>
      </c>
    </row>
    <row r="24" spans="1:10" x14ac:dyDescent="0.3">
      <c r="A24" s="6">
        <v>40817</v>
      </c>
      <c r="B24" s="8">
        <v>1070704.67</v>
      </c>
      <c r="C24">
        <f t="shared" si="1"/>
        <v>1019687.62</v>
      </c>
      <c r="D24">
        <f t="shared" si="2"/>
        <v>2602739390.7024927</v>
      </c>
      <c r="E24">
        <f>AVERAGE($B$2:B24)</f>
        <v>756165.57826086949</v>
      </c>
      <c r="F24">
        <f t="shared" si="3"/>
        <v>98934840232.077118</v>
      </c>
      <c r="G24">
        <f t="shared" si="6"/>
        <v>829099.20600000001</v>
      </c>
      <c r="H24">
        <f t="shared" si="5"/>
        <v>58373200234.655258</v>
      </c>
      <c r="I24">
        <f t="shared" si="4"/>
        <v>1019687.62</v>
      </c>
      <c r="J24">
        <f t="shared" si="0"/>
        <v>2602739390.7024927</v>
      </c>
    </row>
    <row r="25" spans="1:10" x14ac:dyDescent="0.3">
      <c r="A25" s="6">
        <v>40848</v>
      </c>
      <c r="B25" s="8">
        <v>1461756.25</v>
      </c>
      <c r="C25">
        <f t="shared" si="1"/>
        <v>1070704.67</v>
      </c>
      <c r="D25">
        <f t="shared" si="2"/>
        <v>152921338220.49646</v>
      </c>
      <c r="E25">
        <f>AVERAGE($B$2:B25)</f>
        <v>785565.18958333321</v>
      </c>
      <c r="F25">
        <f t="shared" si="3"/>
        <v>457234350187.41632</v>
      </c>
      <c r="G25">
        <f t="shared" si="6"/>
        <v>983225.83200000005</v>
      </c>
      <c r="H25">
        <f t="shared" si="5"/>
        <v>228991360951.25467</v>
      </c>
      <c r="I25">
        <f t="shared" si="4"/>
        <v>1070704.67</v>
      </c>
      <c r="J25">
        <f t="shared" si="0"/>
        <v>152921338220.49646</v>
      </c>
    </row>
    <row r="26" spans="1:10" x14ac:dyDescent="0.3">
      <c r="A26" s="6">
        <v>40878</v>
      </c>
      <c r="C26">
        <f t="shared" si="1"/>
        <v>1461756.25</v>
      </c>
      <c r="E26">
        <f>AVERAGE($B$2:B26)</f>
        <v>785565.18958333321</v>
      </c>
      <c r="G26">
        <f>AVERAGE(B22:B26)</f>
        <v>1058707.2625</v>
      </c>
      <c r="I26">
        <f t="shared" si="4"/>
        <v>1461756.25</v>
      </c>
    </row>
    <row r="29" spans="1:10" x14ac:dyDescent="0.3">
      <c r="D29" s="14" t="s">
        <v>55</v>
      </c>
      <c r="E29" s="14"/>
      <c r="F29" s="14" t="s">
        <v>55</v>
      </c>
      <c r="G29" s="14"/>
      <c r="H29" s="14" t="s">
        <v>55</v>
      </c>
      <c r="I29" s="14"/>
      <c r="J29" s="14" t="s">
        <v>55</v>
      </c>
    </row>
    <row r="30" spans="1:10" x14ac:dyDescent="0.3">
      <c r="D30" s="15">
        <f>SQRT(AVERAGE(D3:D25))</f>
        <v>225582.27809474236</v>
      </c>
      <c r="E30" s="14"/>
      <c r="F30" s="15">
        <f>SQRT(AVERAGE(F3:F25))</f>
        <v>260092.09268589076</v>
      </c>
      <c r="G30" s="14"/>
      <c r="H30" s="15">
        <f>SQRT(AVERAGE(H6:H25))</f>
        <v>247168.35567217064</v>
      </c>
      <c r="I30" s="14"/>
      <c r="J30" s="15">
        <f>SQRT(AVERAGE(J2:J25))</f>
        <v>220832.64556932345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C789-1524-47C1-991E-6A8299AB8D34}">
  <dimension ref="A1:U37"/>
  <sheetViews>
    <sheetView workbookViewId="0">
      <selection activeCell="T1" sqref="T1:U2"/>
    </sheetView>
  </sheetViews>
  <sheetFormatPr defaultRowHeight="14.4" x14ac:dyDescent="0.3"/>
  <cols>
    <col min="1" max="1" width="10.77734375" bestFit="1" customWidth="1"/>
    <col min="7" max="7" width="12" bestFit="1" customWidth="1"/>
    <col min="10" max="10" width="10" bestFit="1" customWidth="1"/>
  </cols>
  <sheetData>
    <row r="1" spans="1:21" x14ac:dyDescent="0.3">
      <c r="A1" s="6" t="s">
        <v>0</v>
      </c>
      <c r="B1" s="7" t="s">
        <v>1</v>
      </c>
      <c r="C1" t="s">
        <v>57</v>
      </c>
      <c r="D1" t="s">
        <v>47</v>
      </c>
      <c r="E1" t="s">
        <v>58</v>
      </c>
      <c r="G1" t="s">
        <v>60</v>
      </c>
      <c r="T1" t="s">
        <v>53</v>
      </c>
      <c r="U1">
        <v>0.95188515867863932</v>
      </c>
    </row>
    <row r="2" spans="1:21" x14ac:dyDescent="0.3">
      <c r="A2" s="6">
        <v>40148</v>
      </c>
      <c r="B2" s="8">
        <v>799847.11</v>
      </c>
      <c r="C2" s="8">
        <v>799847.11</v>
      </c>
      <c r="D2">
        <f>B3-B2</f>
        <v>-175814.21999999997</v>
      </c>
      <c r="T2" t="s">
        <v>59</v>
      </c>
      <c r="U2">
        <v>0.5</v>
      </c>
    </row>
    <row r="3" spans="1:21" x14ac:dyDescent="0.3">
      <c r="A3" s="6">
        <v>40179</v>
      </c>
      <c r="B3" s="8">
        <v>624032.89</v>
      </c>
      <c r="C3">
        <f>$U$1*B3+(1-$U$1)*(C2+D2)</f>
        <v>624032.89</v>
      </c>
      <c r="D3">
        <f>$U$2*(C3-C2)+(1-$U$2)*D2</f>
        <v>-175814.21999999997</v>
      </c>
      <c r="E3">
        <f>C2+D2</f>
        <v>624032.89</v>
      </c>
      <c r="G3">
        <f>(B3-E3)^2</f>
        <v>0</v>
      </c>
    </row>
    <row r="4" spans="1:21" x14ac:dyDescent="0.3">
      <c r="A4" s="6">
        <v>40210</v>
      </c>
      <c r="B4" s="8">
        <v>533091.43000000005</v>
      </c>
      <c r="C4">
        <f t="shared" ref="C4:C25" si="0">$U$1*B4+(1-$U$1)*(C3+D3)</f>
        <v>529007.79062009405</v>
      </c>
      <c r="D4">
        <f t="shared" ref="D4:D25" si="1">$U$2*(C4-C3)+(1-$U$2)*D3</f>
        <v>-135419.65968995297</v>
      </c>
      <c r="E4">
        <f t="shared" ref="E4:E25" si="2">C3+D3</f>
        <v>448218.67000000004</v>
      </c>
      <c r="G4">
        <f t="shared" ref="G4:G29" si="3">(B4-E4)^2</f>
        <v>7203385390.017602</v>
      </c>
    </row>
    <row r="5" spans="1:21" x14ac:dyDescent="0.3">
      <c r="A5" s="6">
        <v>40238</v>
      </c>
      <c r="B5" s="8">
        <v>765848.76</v>
      </c>
      <c r="C5">
        <f t="shared" si="0"/>
        <v>747937.49890211388</v>
      </c>
      <c r="D5">
        <f t="shared" si="1"/>
        <v>41755.024296033429</v>
      </c>
      <c r="E5">
        <f t="shared" si="2"/>
        <v>393588.13093014108</v>
      </c>
      <c r="G5">
        <f t="shared" si="3"/>
        <v>138577975955.48709</v>
      </c>
    </row>
    <row r="6" spans="1:21" x14ac:dyDescent="0.3">
      <c r="A6" s="6">
        <v>40269</v>
      </c>
      <c r="B6" s="8">
        <v>590580.43000000005</v>
      </c>
      <c r="C6">
        <f t="shared" si="0"/>
        <v>600160.67676939291</v>
      </c>
      <c r="D6">
        <f t="shared" si="1"/>
        <v>-53010.898918343766</v>
      </c>
      <c r="E6">
        <f t="shared" si="2"/>
        <v>789692.5231981473</v>
      </c>
      <c r="G6">
        <f t="shared" si="3"/>
        <v>39645625657.747681</v>
      </c>
    </row>
    <row r="7" spans="1:21" x14ac:dyDescent="0.3">
      <c r="A7" s="6">
        <v>40299</v>
      </c>
      <c r="B7" s="8">
        <v>615322.82999999996</v>
      </c>
      <c r="C7">
        <f t="shared" si="0"/>
        <v>612042.69441346033</v>
      </c>
      <c r="D7">
        <f t="shared" si="1"/>
        <v>-20564.440637138177</v>
      </c>
      <c r="E7">
        <f t="shared" si="2"/>
        <v>547149.77785104909</v>
      </c>
      <c r="G7">
        <f t="shared" si="3"/>
        <v>4647565039.3035746</v>
      </c>
    </row>
    <row r="8" spans="1:21" x14ac:dyDescent="0.3">
      <c r="A8" s="6">
        <v>40330</v>
      </c>
      <c r="B8" s="8">
        <v>679786.61</v>
      </c>
      <c r="C8">
        <f t="shared" si="0"/>
        <v>675537.66745294759</v>
      </c>
      <c r="D8">
        <f t="shared" si="1"/>
        <v>21465.266201174541</v>
      </c>
      <c r="E8">
        <f t="shared" si="2"/>
        <v>591478.25377632212</v>
      </c>
      <c r="G8">
        <f t="shared" si="3"/>
        <v>7798365778.9279852</v>
      </c>
    </row>
    <row r="9" spans="1:21" x14ac:dyDescent="0.3">
      <c r="A9" s="6">
        <v>40360</v>
      </c>
      <c r="B9" s="8">
        <v>575236.36</v>
      </c>
      <c r="C9">
        <f t="shared" si="0"/>
        <v>581095.13936961384</v>
      </c>
      <c r="D9">
        <f t="shared" si="1"/>
        <v>-36488.630941079602</v>
      </c>
      <c r="E9">
        <f t="shared" si="2"/>
        <v>697002.93365412217</v>
      </c>
      <c r="G9">
        <f t="shared" si="3"/>
        <v>14827098459.464764</v>
      </c>
    </row>
    <row r="10" spans="1:21" x14ac:dyDescent="0.3">
      <c r="A10" s="6">
        <v>40391</v>
      </c>
      <c r="B10" s="8">
        <v>656776.34</v>
      </c>
      <c r="C10">
        <f t="shared" si="0"/>
        <v>651379.30635289522</v>
      </c>
      <c r="D10">
        <f t="shared" si="1"/>
        <v>16897.768021100888</v>
      </c>
      <c r="E10">
        <f t="shared" si="2"/>
        <v>544606.50842853426</v>
      </c>
      <c r="G10">
        <f t="shared" si="3"/>
        <v>12582071114.770985</v>
      </c>
    </row>
    <row r="11" spans="1:21" x14ac:dyDescent="0.3">
      <c r="A11" s="6">
        <v>40422</v>
      </c>
      <c r="B11" s="8">
        <v>853650.43</v>
      </c>
      <c r="C11">
        <f t="shared" si="0"/>
        <v>844731.22040884662</v>
      </c>
      <c r="D11">
        <f t="shared" si="1"/>
        <v>105124.84103852615</v>
      </c>
      <c r="E11">
        <f t="shared" si="2"/>
        <v>668277.07437399612</v>
      </c>
      <c r="G11">
        <f t="shared" si="3"/>
        <v>34363280976.044922</v>
      </c>
    </row>
    <row r="12" spans="1:21" x14ac:dyDescent="0.3">
      <c r="A12" s="6">
        <v>40452</v>
      </c>
      <c r="B12" s="8">
        <v>1045168.35</v>
      </c>
      <c r="C12">
        <f t="shared" si="0"/>
        <v>1040582.4143603146</v>
      </c>
      <c r="D12">
        <f t="shared" si="1"/>
        <v>150488.01749499707</v>
      </c>
      <c r="E12">
        <f t="shared" si="2"/>
        <v>949856.06144737278</v>
      </c>
      <c r="G12">
        <f t="shared" si="3"/>
        <v>9084432349.1392708</v>
      </c>
    </row>
    <row r="13" spans="1:21" x14ac:dyDescent="0.3">
      <c r="A13" s="6">
        <v>40483</v>
      </c>
      <c r="B13" s="8">
        <v>1422654.64</v>
      </c>
      <c r="C13">
        <f t="shared" si="0"/>
        <v>1411512.0025725851</v>
      </c>
      <c r="D13">
        <f t="shared" si="1"/>
        <v>260708.8028536338</v>
      </c>
      <c r="E13">
        <f t="shared" si="2"/>
        <v>1191070.4318553116</v>
      </c>
      <c r="G13">
        <f t="shared" si="3"/>
        <v>53631245462.002304</v>
      </c>
    </row>
    <row r="14" spans="1:21" x14ac:dyDescent="0.3">
      <c r="A14" s="6">
        <v>40513</v>
      </c>
      <c r="B14" s="8">
        <v>1126445.47</v>
      </c>
      <c r="C14">
        <f t="shared" si="0"/>
        <v>1152705.3636611449</v>
      </c>
      <c r="D14">
        <f t="shared" si="1"/>
        <v>951.08197109676257</v>
      </c>
      <c r="E14">
        <f t="shared" si="2"/>
        <v>1672220.805426219</v>
      </c>
      <c r="G14">
        <f t="shared" si="3"/>
        <v>297870716759.60193</v>
      </c>
    </row>
    <row r="15" spans="1:21" x14ac:dyDescent="0.3">
      <c r="A15" s="6">
        <v>40544</v>
      </c>
      <c r="B15" s="8">
        <v>560000.26</v>
      </c>
      <c r="C15">
        <f t="shared" si="0"/>
        <v>588563.93317113956</v>
      </c>
      <c r="D15">
        <f t="shared" si="1"/>
        <v>-281595.17425945424</v>
      </c>
      <c r="E15">
        <f t="shared" si="2"/>
        <v>1153656.4456322417</v>
      </c>
      <c r="G15">
        <f t="shared" si="3"/>
        <v>352427666739.42255</v>
      </c>
    </row>
    <row r="16" spans="1:21" x14ac:dyDescent="0.3">
      <c r="A16" s="6">
        <v>40575</v>
      </c>
      <c r="B16" s="8">
        <v>498062.65</v>
      </c>
      <c r="C16">
        <f t="shared" si="0"/>
        <v>488868.19775280438</v>
      </c>
      <c r="D16">
        <f t="shared" si="1"/>
        <v>-190645.45483889472</v>
      </c>
      <c r="E16">
        <f t="shared" si="2"/>
        <v>306968.75891168532</v>
      </c>
      <c r="G16">
        <f t="shared" si="3"/>
        <v>36516875211.272682</v>
      </c>
    </row>
    <row r="17" spans="1:10" x14ac:dyDescent="0.3">
      <c r="A17" s="6">
        <v>40603</v>
      </c>
      <c r="B17" s="8">
        <v>683267.08</v>
      </c>
      <c r="C17">
        <f t="shared" si="0"/>
        <v>664740.73281941423</v>
      </c>
      <c r="D17">
        <f t="shared" si="1"/>
        <v>-7386.4598861424311</v>
      </c>
      <c r="E17">
        <f t="shared" si="2"/>
        <v>298222.74291390966</v>
      </c>
      <c r="G17">
        <f t="shared" si="3"/>
        <v>148259141522.06674</v>
      </c>
    </row>
    <row r="18" spans="1:10" x14ac:dyDescent="0.3">
      <c r="A18" s="6">
        <v>40634</v>
      </c>
      <c r="B18" s="8">
        <v>493207.12</v>
      </c>
      <c r="C18">
        <f t="shared" si="0"/>
        <v>501105.03421673749</v>
      </c>
      <c r="D18">
        <f t="shared" si="1"/>
        <v>-85511.079244409586</v>
      </c>
      <c r="E18">
        <f t="shared" si="2"/>
        <v>657354.27293327183</v>
      </c>
      <c r="G18">
        <f t="shared" si="3"/>
        <v>26944287816.09893</v>
      </c>
    </row>
    <row r="19" spans="1:10" x14ac:dyDescent="0.3">
      <c r="A19" s="6">
        <v>40664</v>
      </c>
      <c r="B19" s="8">
        <v>723333.51</v>
      </c>
      <c r="C19">
        <f t="shared" si="0"/>
        <v>708526.67014153744</v>
      </c>
      <c r="D19">
        <f t="shared" si="1"/>
        <v>60955.278340195182</v>
      </c>
      <c r="E19">
        <f t="shared" si="2"/>
        <v>415593.95497232792</v>
      </c>
      <c r="G19">
        <f t="shared" si="3"/>
        <v>94703633728.629623</v>
      </c>
    </row>
    <row r="20" spans="1:10" x14ac:dyDescent="0.3">
      <c r="A20" s="6">
        <v>40695</v>
      </c>
      <c r="B20" s="8">
        <v>691123.12</v>
      </c>
      <c r="C20">
        <f t="shared" si="0"/>
        <v>694893.34259852627</v>
      </c>
      <c r="D20">
        <f t="shared" si="1"/>
        <v>23660.975398592007</v>
      </c>
      <c r="E20">
        <f t="shared" si="2"/>
        <v>769481.94848173263</v>
      </c>
      <c r="G20">
        <f t="shared" si="3"/>
        <v>6140106001.0295935</v>
      </c>
    </row>
    <row r="21" spans="1:10" x14ac:dyDescent="0.3">
      <c r="A21" s="6">
        <v>40725</v>
      </c>
      <c r="B21" s="8">
        <v>681300.11</v>
      </c>
      <c r="C21">
        <f t="shared" si="0"/>
        <v>683092.59030633431</v>
      </c>
      <c r="D21">
        <f t="shared" si="1"/>
        <v>5930.111553200024</v>
      </c>
      <c r="E21">
        <f t="shared" si="2"/>
        <v>718554.31799711823</v>
      </c>
      <c r="G21">
        <f t="shared" si="3"/>
        <v>1387876013.4925485</v>
      </c>
    </row>
    <row r="22" spans="1:10" x14ac:dyDescent="0.3">
      <c r="A22" s="6">
        <v>40756</v>
      </c>
      <c r="B22" s="8">
        <v>682680.51</v>
      </c>
      <c r="C22">
        <f t="shared" si="0"/>
        <v>682985.66355495108</v>
      </c>
      <c r="D22">
        <f t="shared" si="1"/>
        <v>2911.5924009083965</v>
      </c>
      <c r="E22">
        <f t="shared" si="2"/>
        <v>689022.70185953437</v>
      </c>
      <c r="G22">
        <f t="shared" si="3"/>
        <v>40223397.583143897</v>
      </c>
    </row>
    <row r="23" spans="1:10" x14ac:dyDescent="0.3">
      <c r="A23" s="6">
        <v>40787</v>
      </c>
      <c r="B23" s="8">
        <v>1019687.62</v>
      </c>
      <c r="C23">
        <f t="shared" si="0"/>
        <v>1003627.3495994169</v>
      </c>
      <c r="D23">
        <f t="shared" si="1"/>
        <v>161776.63922268714</v>
      </c>
      <c r="E23">
        <f t="shared" si="2"/>
        <v>685897.25595585944</v>
      </c>
      <c r="G23">
        <f t="shared" si="3"/>
        <v>111416007128.71988</v>
      </c>
    </row>
    <row r="24" spans="1:10" x14ac:dyDescent="0.3">
      <c r="A24" s="6">
        <v>40817</v>
      </c>
      <c r="B24" s="8">
        <v>1070704.67</v>
      </c>
      <c r="C24">
        <f t="shared" si="0"/>
        <v>1075261.1126983664</v>
      </c>
      <c r="D24">
        <f t="shared" si="1"/>
        <v>116705.20116081829</v>
      </c>
      <c r="E24">
        <f t="shared" si="2"/>
        <v>1165403.9888221042</v>
      </c>
      <c r="G24">
        <f t="shared" si="3"/>
        <v>8967960985.3705482</v>
      </c>
    </row>
    <row r="25" spans="1:10" x14ac:dyDescent="0.3">
      <c r="A25" s="6">
        <v>40848</v>
      </c>
      <c r="B25" s="8">
        <v>1461756.25</v>
      </c>
      <c r="C25">
        <f t="shared" si="0"/>
        <v>1448775.3500324846</v>
      </c>
      <c r="D25">
        <f t="shared" si="1"/>
        <v>245109.71924746825</v>
      </c>
      <c r="E25">
        <f t="shared" si="2"/>
        <v>1191966.3138591847</v>
      </c>
      <c r="G25">
        <f t="shared" si="3"/>
        <v>72786609642.865173</v>
      </c>
    </row>
    <row r="26" spans="1:10" x14ac:dyDescent="0.3">
      <c r="A26" s="6">
        <v>40878</v>
      </c>
      <c r="E26">
        <f>$C$25+(F26*$D$25)</f>
        <v>1693885.0692799529</v>
      </c>
      <c r="F26">
        <v>1</v>
      </c>
      <c r="G26">
        <f t="shared" si="3"/>
        <v>2869246627929.5508</v>
      </c>
    </row>
    <row r="27" spans="1:10" x14ac:dyDescent="0.3">
      <c r="A27" s="6">
        <v>40909</v>
      </c>
      <c r="E27">
        <f t="shared" ref="E27:E37" si="4">$C$25+(F27*$D$25)</f>
        <v>1938994.7885274212</v>
      </c>
      <c r="F27">
        <v>2</v>
      </c>
      <c r="G27">
        <f t="shared" si="3"/>
        <v>3759700789936.499</v>
      </c>
    </row>
    <row r="28" spans="1:10" x14ac:dyDescent="0.3">
      <c r="A28" s="6">
        <v>40940</v>
      </c>
      <c r="E28">
        <f t="shared" si="4"/>
        <v>2184104.5077748895</v>
      </c>
      <c r="F28">
        <v>3</v>
      </c>
      <c r="G28">
        <f t="shared" si="3"/>
        <v>4770312500882.5918</v>
      </c>
    </row>
    <row r="29" spans="1:10" x14ac:dyDescent="0.3">
      <c r="A29" s="6">
        <v>40969</v>
      </c>
      <c r="E29">
        <f t="shared" si="4"/>
        <v>2429214.2270223578</v>
      </c>
      <c r="F29">
        <v>4</v>
      </c>
      <c r="G29">
        <f t="shared" si="3"/>
        <v>5901081760767.8311</v>
      </c>
      <c r="I29" t="s">
        <v>55</v>
      </c>
      <c r="J29">
        <f>SQRT(AVERAGE(G3:G25))</f>
        <v>253653.49106083761</v>
      </c>
    </row>
    <row r="30" spans="1:10" x14ac:dyDescent="0.3">
      <c r="A30" s="6"/>
    </row>
    <row r="31" spans="1:10" x14ac:dyDescent="0.3">
      <c r="A31" s="6"/>
    </row>
    <row r="32" spans="1:10" x14ac:dyDescent="0.3">
      <c r="A32" s="6"/>
    </row>
    <row r="33" spans="1:1" x14ac:dyDescent="0.3">
      <c r="A33" s="6"/>
    </row>
    <row r="34" spans="1:1" x14ac:dyDescent="0.3">
      <c r="A34" s="6"/>
    </row>
    <row r="35" spans="1:1" x14ac:dyDescent="0.3">
      <c r="A35" s="6"/>
    </row>
    <row r="36" spans="1:1" x14ac:dyDescent="0.3">
      <c r="A36" s="6"/>
    </row>
    <row r="37" spans="1:1" x14ac:dyDescent="0.3">
      <c r="A37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3BDA-32F7-4F98-8D6B-299EB99CC93F}">
  <dimension ref="A1:S38"/>
  <sheetViews>
    <sheetView tabSelected="1" workbookViewId="0">
      <selection activeCell="P9" sqref="P9"/>
    </sheetView>
  </sheetViews>
  <sheetFormatPr defaultRowHeight="14.4" x14ac:dyDescent="0.3"/>
  <cols>
    <col min="1" max="1" width="10.77734375" bestFit="1" customWidth="1"/>
    <col min="3" max="3" width="12" bestFit="1" customWidth="1"/>
    <col min="5" max="5" width="10.21875" bestFit="1" customWidth="1"/>
  </cols>
  <sheetData>
    <row r="1" spans="1:19" x14ac:dyDescent="0.3">
      <c r="A1" s="6" t="s">
        <v>0</v>
      </c>
      <c r="B1" s="7" t="s">
        <v>1</v>
      </c>
      <c r="C1" t="s">
        <v>57</v>
      </c>
      <c r="D1" t="s">
        <v>47</v>
      </c>
      <c r="E1" t="s">
        <v>62</v>
      </c>
      <c r="F1" t="s">
        <v>58</v>
      </c>
      <c r="R1" t="s">
        <v>53</v>
      </c>
      <c r="S1">
        <v>0.5</v>
      </c>
    </row>
    <row r="2" spans="1:19" x14ac:dyDescent="0.3">
      <c r="A2" s="6">
        <v>40148</v>
      </c>
      <c r="B2" s="8">
        <v>799847.11</v>
      </c>
      <c r="E2">
        <v>1.0476063437957033</v>
      </c>
      <c r="R2" t="s">
        <v>59</v>
      </c>
      <c r="S2">
        <v>0.5</v>
      </c>
    </row>
    <row r="3" spans="1:19" x14ac:dyDescent="0.3">
      <c r="A3" s="6">
        <v>40179</v>
      </c>
      <c r="B3" s="8">
        <v>624032.89</v>
      </c>
      <c r="E3">
        <v>0.8173322202804062</v>
      </c>
      <c r="H3" t="s">
        <v>63</v>
      </c>
      <c r="I3">
        <f>B3-B2</f>
        <v>-175814.21999999997</v>
      </c>
      <c r="R3" t="s">
        <v>61</v>
      </c>
      <c r="S3">
        <v>0.5</v>
      </c>
    </row>
    <row r="4" spans="1:19" x14ac:dyDescent="0.3">
      <c r="A4" s="6">
        <v>40210</v>
      </c>
      <c r="B4" s="8">
        <v>533091.43000000005</v>
      </c>
      <c r="E4">
        <v>0.69822089360443296</v>
      </c>
      <c r="H4" t="s">
        <v>64</v>
      </c>
      <c r="I4">
        <f t="shared" ref="I4:I13" si="0">B4-B3</f>
        <v>-90941.459999999963</v>
      </c>
    </row>
    <row r="5" spans="1:19" x14ac:dyDescent="0.3">
      <c r="A5" s="6">
        <v>40238</v>
      </c>
      <c r="B5" s="8">
        <v>765848.76</v>
      </c>
      <c r="E5">
        <v>1.0030767247056416</v>
      </c>
      <c r="H5" t="s">
        <v>65</v>
      </c>
      <c r="I5">
        <f t="shared" si="0"/>
        <v>232757.32999999996</v>
      </c>
    </row>
    <row r="6" spans="1:19" x14ac:dyDescent="0.3">
      <c r="A6" s="6">
        <v>40269</v>
      </c>
      <c r="B6" s="8">
        <v>590580.43000000005</v>
      </c>
      <c r="E6">
        <v>0.7735175851164785</v>
      </c>
      <c r="H6" t="s">
        <v>66</v>
      </c>
      <c r="I6">
        <f t="shared" si="0"/>
        <v>-175268.32999999996</v>
      </c>
    </row>
    <row r="7" spans="1:19" x14ac:dyDescent="0.3">
      <c r="A7" s="6">
        <v>40299</v>
      </c>
      <c r="B7" s="8">
        <v>615322.82999999996</v>
      </c>
      <c r="E7">
        <v>0.8059241474165294</v>
      </c>
      <c r="H7" t="s">
        <v>65</v>
      </c>
      <c r="I7">
        <f t="shared" si="0"/>
        <v>24742.399999999907</v>
      </c>
    </row>
    <row r="8" spans="1:19" x14ac:dyDescent="0.3">
      <c r="A8" s="6">
        <v>40330</v>
      </c>
      <c r="B8" s="8">
        <v>679786.61</v>
      </c>
      <c r="E8">
        <v>0.89035611451215424</v>
      </c>
      <c r="H8" t="s">
        <v>63</v>
      </c>
      <c r="I8">
        <f t="shared" si="0"/>
        <v>64463.780000000028</v>
      </c>
    </row>
    <row r="9" spans="1:19" x14ac:dyDescent="0.3">
      <c r="A9" s="6">
        <v>40360</v>
      </c>
      <c r="B9" s="8">
        <v>575236.36</v>
      </c>
      <c r="E9">
        <v>0.75342056298477955</v>
      </c>
      <c r="H9" t="s">
        <v>63</v>
      </c>
      <c r="I9">
        <f t="shared" si="0"/>
        <v>-104550.25</v>
      </c>
    </row>
    <row r="10" spans="1:19" x14ac:dyDescent="0.3">
      <c r="A10" s="6">
        <v>40391</v>
      </c>
      <c r="B10" s="8">
        <v>656776.34</v>
      </c>
      <c r="E10">
        <v>0.86021822375394175</v>
      </c>
      <c r="H10" t="s">
        <v>66</v>
      </c>
      <c r="I10">
        <f t="shared" si="0"/>
        <v>81539.979999999981</v>
      </c>
    </row>
    <row r="11" spans="1:19" x14ac:dyDescent="0.3">
      <c r="A11" s="6">
        <v>40422</v>
      </c>
      <c r="B11" s="8">
        <v>853650.43</v>
      </c>
      <c r="E11">
        <v>1.1180756855543681</v>
      </c>
      <c r="H11" t="s">
        <v>67</v>
      </c>
      <c r="I11">
        <f t="shared" si="0"/>
        <v>196874.09000000008</v>
      </c>
    </row>
    <row r="12" spans="1:19" x14ac:dyDescent="0.3">
      <c r="A12" s="6">
        <v>40452</v>
      </c>
      <c r="B12" s="8">
        <v>1045168.35</v>
      </c>
      <c r="E12">
        <v>1.3689178595575446</v>
      </c>
      <c r="H12" t="s">
        <v>68</v>
      </c>
      <c r="I12">
        <f t="shared" si="0"/>
        <v>191517.91999999993</v>
      </c>
    </row>
    <row r="13" spans="1:19" x14ac:dyDescent="0.3">
      <c r="A13" s="6">
        <v>40483</v>
      </c>
      <c r="B13" s="8">
        <v>1422654.64</v>
      </c>
      <c r="C13">
        <f>AVERAGE(B2:B13)</f>
        <v>763499.68166666664</v>
      </c>
      <c r="D13">
        <v>56618.866363636356</v>
      </c>
      <c r="E13">
        <v>1.8633336387180199</v>
      </c>
      <c r="H13" t="s">
        <v>69</v>
      </c>
      <c r="I13">
        <f t="shared" si="0"/>
        <v>377486.28999999992</v>
      </c>
    </row>
    <row r="14" spans="1:19" x14ac:dyDescent="0.3">
      <c r="A14" s="6">
        <v>40513</v>
      </c>
      <c r="B14" s="8">
        <v>1126445.47</v>
      </c>
      <c r="C14">
        <f>$S$1*B14/E2+(1-$S$1)*(C13+D13)</f>
        <v>947687.49508846295</v>
      </c>
      <c r="D14">
        <f>$S$2*(C14-C13)+(1-$S$2)*D13</f>
        <v>120403.33989271634</v>
      </c>
      <c r="E14">
        <f>$S$3*(B14/C14)+(1-$S$3)*E2</f>
        <v>1.1181158940968769</v>
      </c>
      <c r="F14">
        <f>(C13+D13)*E2</f>
        <v>859161.39358106651</v>
      </c>
      <c r="H14" t="s">
        <v>70</v>
      </c>
      <c r="I14">
        <f>AVERAGE(I3:I13)</f>
        <v>56618.866363636356</v>
      </c>
    </row>
    <row r="15" spans="1:19" x14ac:dyDescent="0.3">
      <c r="A15" s="6">
        <v>40544</v>
      </c>
      <c r="B15" s="8">
        <v>560000.26</v>
      </c>
      <c r="C15">
        <f t="shared" ref="C15:C25" si="1">$S$1*B15/E3+(1-$S$1)*(C14+D14)</f>
        <v>876623.53083590593</v>
      </c>
      <c r="D15">
        <f t="shared" ref="D15:D25" si="2">$S$2*(C15-C14)+(1-$S$2)*D14</f>
        <v>24669.687820079656</v>
      </c>
      <c r="E15">
        <f t="shared" ref="E15:E25" si="3">$S$3*(B15/C15)+(1-$S$3)*E3</f>
        <v>0.72807360965485268</v>
      </c>
      <c r="F15">
        <f t="shared" ref="F15:F26" si="4">(C14+D14)*E3</f>
        <v>872985.05361632025</v>
      </c>
    </row>
    <row r="16" spans="1:19" x14ac:dyDescent="0.3">
      <c r="A16" s="6">
        <v>40575</v>
      </c>
      <c r="B16" s="8">
        <v>498062.65</v>
      </c>
      <c r="C16">
        <f t="shared" si="1"/>
        <v>807312.1392212949</v>
      </c>
      <c r="D16">
        <f t="shared" si="2"/>
        <v>-22320.851897265686</v>
      </c>
      <c r="E16">
        <f t="shared" si="3"/>
        <v>0.65758013640728907</v>
      </c>
      <c r="F16">
        <f t="shared" si="4"/>
        <v>629301.7565295978</v>
      </c>
    </row>
    <row r="17" spans="1:7" x14ac:dyDescent="0.3">
      <c r="A17" s="6">
        <v>40603</v>
      </c>
      <c r="B17" s="8">
        <v>683267.08</v>
      </c>
      <c r="C17">
        <f t="shared" si="1"/>
        <v>733081.29537300835</v>
      </c>
      <c r="D17">
        <f t="shared" si="2"/>
        <v>-48275.847872776118</v>
      </c>
      <c r="E17">
        <f t="shared" si="3"/>
        <v>0.9675624474799267</v>
      </c>
      <c r="F17">
        <f t="shared" si="4"/>
        <v>787406.48941145244</v>
      </c>
    </row>
    <row r="18" spans="1:7" x14ac:dyDescent="0.3">
      <c r="A18" s="6">
        <v>40634</v>
      </c>
      <c r="B18" s="8">
        <v>493207.12</v>
      </c>
      <c r="C18">
        <f t="shared" si="1"/>
        <v>661210.67943849997</v>
      </c>
      <c r="D18">
        <f t="shared" si="2"/>
        <v>-60073.231903642256</v>
      </c>
      <c r="E18">
        <f t="shared" si="3"/>
        <v>0.75971641055892802</v>
      </c>
      <c r="F18">
        <f t="shared" si="4"/>
        <v>529709.05602498911</v>
      </c>
    </row>
    <row r="19" spans="1:7" x14ac:dyDescent="0.3">
      <c r="A19" s="6">
        <v>40664</v>
      </c>
      <c r="B19" s="8">
        <v>723333.51</v>
      </c>
      <c r="C19">
        <f t="shared" si="1"/>
        <v>749329.01486846991</v>
      </c>
      <c r="D19">
        <f t="shared" si="2"/>
        <v>14022.551763163843</v>
      </c>
      <c r="E19">
        <f t="shared" si="3"/>
        <v>0.88561621871489249</v>
      </c>
      <c r="F19">
        <f t="shared" si="4"/>
        <v>484471.18488467886</v>
      </c>
    </row>
    <row r="20" spans="1:7" x14ac:dyDescent="0.3">
      <c r="A20" s="6">
        <v>40695</v>
      </c>
      <c r="B20" s="8">
        <v>691123.12</v>
      </c>
      <c r="C20">
        <f t="shared" si="1"/>
        <v>769791.90266132262</v>
      </c>
      <c r="D20">
        <f t="shared" si="2"/>
        <v>17242.719778008275</v>
      </c>
      <c r="E20">
        <f t="shared" si="3"/>
        <v>0.89408062274855038</v>
      </c>
      <c r="F20">
        <f t="shared" si="4"/>
        <v>679654.73487290728</v>
      </c>
    </row>
    <row r="21" spans="1:7" x14ac:dyDescent="0.3">
      <c r="A21" s="6">
        <v>40725</v>
      </c>
      <c r="B21" s="8">
        <v>681300.11</v>
      </c>
      <c r="C21">
        <f t="shared" si="1"/>
        <v>845655.29594690434</v>
      </c>
      <c r="D21">
        <f t="shared" si="2"/>
        <v>46553.056531795002</v>
      </c>
      <c r="E21">
        <f t="shared" si="3"/>
        <v>0.77953405216193239</v>
      </c>
      <c r="F21">
        <f t="shared" si="4"/>
        <v>592968.06832675415</v>
      </c>
    </row>
    <row r="22" spans="1:7" x14ac:dyDescent="0.3">
      <c r="A22" s="6">
        <v>40756</v>
      </c>
      <c r="B22" s="8">
        <v>682680.51</v>
      </c>
      <c r="C22">
        <f t="shared" si="1"/>
        <v>842910.76039936801</v>
      </c>
      <c r="D22">
        <f t="shared" si="2"/>
        <v>21904.260492129335</v>
      </c>
      <c r="E22">
        <f t="shared" si="3"/>
        <v>0.83506331466621309</v>
      </c>
      <c r="F22">
        <f t="shared" si="4"/>
        <v>767493.8841876575</v>
      </c>
    </row>
    <row r="23" spans="1:7" x14ac:dyDescent="0.3">
      <c r="A23" s="6">
        <v>40787</v>
      </c>
      <c r="B23" s="8">
        <v>1019687.62</v>
      </c>
      <c r="C23">
        <f t="shared" si="1"/>
        <v>888408.67082086904</v>
      </c>
      <c r="D23">
        <f t="shared" si="2"/>
        <v>33701.085456815184</v>
      </c>
      <c r="E23">
        <f t="shared" si="3"/>
        <v>1.1329221673514998</v>
      </c>
      <c r="F23">
        <f t="shared" si="4"/>
        <v>966928.64736097609</v>
      </c>
    </row>
    <row r="24" spans="1:7" x14ac:dyDescent="0.3">
      <c r="A24" s="6">
        <v>40817</v>
      </c>
      <c r="B24" s="8">
        <v>1070704.67</v>
      </c>
      <c r="C24">
        <f t="shared" si="1"/>
        <v>852131.91118524713</v>
      </c>
      <c r="D24">
        <f t="shared" si="2"/>
        <v>-1287.8370894033651</v>
      </c>
      <c r="E24">
        <f t="shared" si="3"/>
        <v>1.3127094717111449</v>
      </c>
      <c r="F24">
        <f t="shared" si="4"/>
        <v>1262292.5138407766</v>
      </c>
    </row>
    <row r="25" spans="1:7" x14ac:dyDescent="0.3">
      <c r="A25" s="6">
        <v>40848</v>
      </c>
      <c r="B25" s="8">
        <v>1461756.25</v>
      </c>
      <c r="C25">
        <f t="shared" si="1"/>
        <v>817664.25809366372</v>
      </c>
      <c r="D25">
        <f t="shared" si="2"/>
        <v>-17877.745090493383</v>
      </c>
      <c r="E25">
        <f t="shared" si="3"/>
        <v>1.8255277381473638</v>
      </c>
      <c r="F25">
        <f t="shared" si="4"/>
        <v>1585406.3845666731</v>
      </c>
    </row>
    <row r="26" spans="1:7" x14ac:dyDescent="0.3">
      <c r="A26" s="6">
        <v>40878</v>
      </c>
      <c r="F26">
        <f>($C$25+G26*$D$25)*E14</f>
        <v>894254.01207316329</v>
      </c>
      <c r="G26">
        <v>1</v>
      </c>
    </row>
    <row r="27" spans="1:7" x14ac:dyDescent="0.3">
      <c r="A27" s="6">
        <v>40909</v>
      </c>
      <c r="F27">
        <f>($C$25+G27*$D$25)*E15</f>
        <v>569287.13907496107</v>
      </c>
      <c r="G27">
        <v>2</v>
      </c>
    </row>
    <row r="28" spans="1:7" x14ac:dyDescent="0.3">
      <c r="A28" s="6">
        <v>40940</v>
      </c>
      <c r="F28">
        <f t="shared" ref="F28:F37" si="5">($C$25+G28*$D$25)*E16</f>
        <v>502411.62420681206</v>
      </c>
      <c r="G28">
        <v>3</v>
      </c>
    </row>
    <row r="29" spans="1:7" x14ac:dyDescent="0.3">
      <c r="A29" s="6">
        <v>40969</v>
      </c>
      <c r="F29">
        <f t="shared" si="5"/>
        <v>721949.89159724372</v>
      </c>
      <c r="G29">
        <v>4</v>
      </c>
    </row>
    <row r="30" spans="1:7" x14ac:dyDescent="0.3">
      <c r="A30" s="6">
        <v>41000</v>
      </c>
      <c r="F30">
        <f t="shared" si="5"/>
        <v>553282.87355606153</v>
      </c>
      <c r="G30">
        <v>5</v>
      </c>
    </row>
    <row r="31" spans="1:7" x14ac:dyDescent="0.3">
      <c r="A31" s="6">
        <v>41030</v>
      </c>
      <c r="F31">
        <f>($C$25+G31*$D$25)*E19</f>
        <v>629139.80239407951</v>
      </c>
      <c r="G31">
        <v>6</v>
      </c>
    </row>
    <row r="32" spans="1:7" x14ac:dyDescent="0.3">
      <c r="A32" s="6">
        <v>41061</v>
      </c>
      <c r="F32">
        <f t="shared" si="5"/>
        <v>619168.75082867709</v>
      </c>
      <c r="G32">
        <v>7</v>
      </c>
    </row>
    <row r="33" spans="1:7" x14ac:dyDescent="0.3">
      <c r="A33" s="6">
        <v>41091</v>
      </c>
      <c r="F33">
        <f t="shared" si="5"/>
        <v>525906.64382845059</v>
      </c>
      <c r="G33">
        <v>8</v>
      </c>
    </row>
    <row r="34" spans="1:7" x14ac:dyDescent="0.3">
      <c r="A34" s="6">
        <v>41122</v>
      </c>
      <c r="F34">
        <f t="shared" si="5"/>
        <v>548439.98398155952</v>
      </c>
      <c r="G34">
        <v>9</v>
      </c>
    </row>
    <row r="35" spans="1:7" x14ac:dyDescent="0.3">
      <c r="A35" s="6">
        <v>41153</v>
      </c>
      <c r="F35">
        <f t="shared" si="5"/>
        <v>723809.02629253559</v>
      </c>
      <c r="G35">
        <v>10</v>
      </c>
    </row>
    <row r="36" spans="1:7" x14ac:dyDescent="0.3">
      <c r="A36" s="6">
        <v>41183</v>
      </c>
      <c r="F36">
        <f t="shared" si="5"/>
        <v>815204.47783480969</v>
      </c>
      <c r="G36">
        <v>11</v>
      </c>
    </row>
    <row r="37" spans="1:7" x14ac:dyDescent="0.3">
      <c r="A37" s="6">
        <v>41214</v>
      </c>
      <c r="F37">
        <f t="shared" si="5"/>
        <v>1101032.9489429859</v>
      </c>
      <c r="G37">
        <v>12</v>
      </c>
    </row>
    <row r="38" spans="1:7" x14ac:dyDescent="0.3">
      <c r="A3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Linear Regression</vt:lpstr>
      <vt:lpstr>Polynominal Regresson</vt:lpstr>
      <vt:lpstr>Multiple Linear Regression</vt:lpstr>
      <vt:lpstr>Simple Models</vt:lpstr>
      <vt:lpstr>Holt Method</vt:lpstr>
      <vt:lpstr>Holt Winter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</cp:lastModifiedBy>
  <dcterms:created xsi:type="dcterms:W3CDTF">2026-02-04T16:17:14Z</dcterms:created>
  <dcterms:modified xsi:type="dcterms:W3CDTF">2026-02-06T17:45:21Z</dcterms:modified>
</cp:coreProperties>
</file>